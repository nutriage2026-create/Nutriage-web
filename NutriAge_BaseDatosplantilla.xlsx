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  <sheet xmlns:r="http://schemas.openxmlformats.org/officeDocument/2006/relationships" name="FORMULARIO_CLINICO" sheetId="2" state="visible" r:id="rId2"/>
    <sheet xmlns:r="http://schemas.openxmlformats.org/officeDocument/2006/relationships" name="CITAS" sheetId="3" state="visible" r:id="rId3"/>
    <sheet xmlns:r="http://schemas.openxmlformats.org/officeDocument/2006/relationships" name="PAGOS" sheetId="4" state="visible" r:id="rId4"/>
    <sheet xmlns:r="http://schemas.openxmlformats.org/officeDocument/2006/relationships" name="DISPONIBILIDAD" sheetId="5" state="visible" r:id="rId5"/>
    <sheet xmlns:r="http://schemas.openxmlformats.org/officeDocument/2006/relationships" name="VIDEOLLAMADAS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CONFIG_GAS" sheetId="8" state="visible" r:id="rId8"/>
    <sheet xmlns:r="http://schemas.openxmlformats.org/officeDocument/2006/relationships" name="IDEAS_MEJOR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A47CC5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color rgb="003D2459"/>
      <sz val="9"/>
    </font>
    <font>
      <name val="Arial"/>
      <b val="1"/>
      <color rgb="002D5E34"/>
      <sz val="10"/>
    </font>
    <font>
      <name val="Arial"/>
      <b val="1"/>
      <color rgb="00FFFFFF"/>
      <sz val="13"/>
    </font>
    <font>
      <name val="Arial"/>
      <b val="1"/>
      <color rgb="00FFFFFF"/>
      <sz val="8"/>
    </font>
    <font>
      <name val="Arial"/>
      <b val="1"/>
      <color rgb="003D2459"/>
      <sz val="8"/>
    </font>
    <font>
      <name val="Arial"/>
      <i val="1"/>
      <color rgb="004A8C54"/>
      <sz val="9"/>
    </font>
    <font>
      <name val="Arial"/>
      <color rgb="00666666"/>
      <sz val="9"/>
    </font>
    <font>
      <name val="Arial"/>
      <i val="1"/>
      <color rgb="00C47C2A"/>
      <sz val="9"/>
    </font>
    <font>
      <name val="Arial"/>
      <b val="1"/>
      <color rgb="002D5E34"/>
      <sz val="12"/>
    </font>
    <font>
      <name val="Arial"/>
      <b val="1"/>
      <color rgb="00C47C2A"/>
      <sz val="11"/>
    </font>
    <font>
      <name val="Arial"/>
      <i val="1"/>
      <color rgb="002980B9"/>
      <sz val="9"/>
    </font>
    <font>
      <name val="Arial"/>
      <b val="1"/>
      <color rgb="00FFFFFF"/>
      <sz val="16"/>
    </font>
    <font>
      <name val="Arial"/>
      <i val="1"/>
      <color rgb="006B4A9A"/>
      <sz val="9"/>
    </font>
    <font>
      <name val="Arial"/>
      <b val="1"/>
      <color rgb="00000000"/>
      <sz val="11"/>
    </font>
    <font>
      <name val="Arial"/>
      <b val="1"/>
      <color rgb="003D2459"/>
      <sz val="13"/>
    </font>
    <font>
      <name val="Arial"/>
      <b val="1"/>
      <color rgb="003D2459"/>
      <sz val="9"/>
    </font>
    <font>
      <name val="Arial"/>
      <color rgb="00000080"/>
      <sz val="9"/>
    </font>
    <font>
      <name val="Arial"/>
      <i val="1"/>
      <color rgb="006B4A9A"/>
      <sz val="8"/>
    </font>
    <font>
      <name val="Arial"/>
      <color rgb="00000080"/>
      <sz val="8"/>
    </font>
    <font>
      <name val="Arial"/>
      <color rgb="002D5E34"/>
      <sz val="8"/>
    </font>
    <font>
      <name val="Arial"/>
      <color rgb="00000000"/>
      <sz val="8"/>
    </font>
    <font>
      <name val="Arial"/>
      <b val="1"/>
      <color rgb="00000000"/>
      <sz val="9"/>
    </font>
  </fonts>
  <fills count="21">
    <fill>
      <patternFill/>
    </fill>
    <fill>
      <patternFill patternType="gray125"/>
    </fill>
    <fill>
      <patternFill patternType="solid">
        <fgColor rgb="003D2459"/>
      </patternFill>
    </fill>
    <fill>
      <patternFill patternType="solid">
        <fgColor rgb="00F0E8FA"/>
      </patternFill>
    </fill>
    <fill>
      <patternFill patternType="solid">
        <fgColor rgb="006B4A9A"/>
      </patternFill>
    </fill>
    <fill>
      <patternFill patternType="solid">
        <fgColor rgb="00F8F5FC"/>
      </patternFill>
    </fill>
    <fill>
      <patternFill patternType="solid">
        <fgColor rgb="00FFFFFF"/>
      </patternFill>
    </fill>
    <fill>
      <patternFill patternType="solid">
        <fgColor rgb="002D5E34"/>
      </patternFill>
    </fill>
    <fill>
      <patternFill patternType="solid">
        <fgColor rgb="00EDF6EE"/>
      </patternFill>
    </fill>
    <fill>
      <patternFill patternType="solid">
        <fgColor rgb="007B5EA7"/>
      </patternFill>
    </fill>
    <fill>
      <patternFill patternType="solid">
        <fgColor rgb="004A8C54"/>
      </patternFill>
    </fill>
    <fill>
      <patternFill patternType="solid">
        <fgColor rgb="00C47C2A"/>
      </patternFill>
    </fill>
    <fill>
      <patternFill patternType="solid">
        <fgColor rgb="00C0392B"/>
      </patternFill>
    </fill>
    <fill>
      <patternFill patternType="solid">
        <fgColor rgb="002980B9"/>
      </patternFill>
    </fill>
    <fill>
      <patternFill patternType="solid">
        <fgColor rgb="0016A085"/>
      </patternFill>
    </fill>
    <fill>
      <patternFill patternType="solid">
        <fgColor rgb="00E8E0F0"/>
      </patternFill>
    </fill>
    <fill>
      <patternFill patternType="solid">
        <fgColor rgb="00FDF5E0"/>
      </patternFill>
    </fill>
    <fill>
      <patternFill patternType="solid">
        <fgColor rgb="00EBF5FB"/>
      </patternFill>
    </fill>
    <fill>
      <patternFill patternType="solid">
        <fgColor rgb="00FDECEA"/>
      </patternFill>
    </fill>
    <fill>
      <patternFill patternType="solid">
        <fgColor rgb="00FEF9E7"/>
      </patternFill>
    </fill>
    <fill>
      <patternFill patternType="solid">
        <fgColor rgb="00EDFBE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8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/>
    </xf>
    <xf numFmtId="0" fontId="2" fillId="3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/>
    </xf>
    <xf numFmtId="0" fontId="11" fillId="8" borderId="0" pivotButton="0" quotePrefix="0" xfId="0"/>
    <xf numFmtId="0" fontId="3" fillId="1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left" vertical="center"/>
    </xf>
    <xf numFmtId="0" fontId="13" fillId="16" borderId="0" pivotButton="0" quotePrefix="0" xfId="0"/>
    <xf numFmtId="0" fontId="3" fillId="11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4" fontId="14" fillId="8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164" fontId="15" fillId="16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/>
    </xf>
    <xf numFmtId="0" fontId="8" fillId="13" borderId="0" applyAlignment="1" pivotButton="0" quotePrefix="0" xfId="0">
      <alignment horizontal="left" vertical="center"/>
    </xf>
    <xf numFmtId="0" fontId="16" fillId="17" borderId="0" pivotButton="0" quotePrefix="0" xfId="0"/>
    <xf numFmtId="0" fontId="3" fillId="13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center" vertical="center" wrapText="1"/>
    </xf>
    <xf numFmtId="0" fontId="19" fillId="16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center" vertical="center" wrapText="1"/>
    </xf>
    <xf numFmtId="0" fontId="20" fillId="1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21" fillId="3" borderId="1" pivotButton="0" quotePrefix="0" xfId="0"/>
    <xf numFmtId="0" fontId="22" fillId="6" borderId="1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4" fillId="8" borderId="1" applyAlignment="1" pivotButton="0" quotePrefix="0" xfId="0">
      <alignment horizontal="left" vertical="center" wrapText="1"/>
    </xf>
    <xf numFmtId="0" fontId="25" fillId="6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27" fillId="18" borderId="1" applyAlignment="1" pivotButton="0" quotePrefix="0" xfId="0">
      <alignment horizontal="center" vertical="center" wrapText="1"/>
    </xf>
    <xf numFmtId="0" fontId="27" fillId="19" borderId="1" applyAlignment="1" pivotButton="0" quotePrefix="0" xfId="0">
      <alignment horizontal="center" vertical="center" wrapText="1"/>
    </xf>
    <xf numFmtId="0" fontId="27" fillId="20" borderId="1" applyAlignment="1" pivotButton="0" quotePrefix="0" xfId="0">
      <alignment horizontal="center" vertical="center" wrapText="1"/>
    </xf>
    <xf numFmtId="0" fontId="27" fillId="1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B4A9A"/>
    <outlinePr summaryBelow="1" summaryRight="1"/>
    <pageSetUpPr/>
  </sheetPr>
  <dimension ref="A1:R4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16" customWidth="1" min="4" max="4"/>
    <col width="16" customWidth="1" min="5" max="5"/>
    <col width="8" customWidth="1" min="6" max="6"/>
    <col width="20" customWidth="1" min="7" max="7"/>
    <col width="10" customWidth="1" min="8" max="8"/>
    <col width="10" customWidth="1" min="9" max="9"/>
    <col width="8" customWidth="1" min="10" max="10"/>
    <col width="30" customWidth="1" min="11" max="11"/>
    <col width="14" customWidth="1" min="12" max="12"/>
    <col width="10" customWidth="1" min="13" max="13"/>
    <col width="14" customWidth="1" min="14" max="14"/>
    <col width="16" customWidth="1" min="15" max="15"/>
    <col width="16" customWidth="1" min="16" max="16"/>
    <col width="18" customWidth="1" min="17" max="17"/>
    <col width="26" customWidth="1" min="18" max="18"/>
  </cols>
  <sheetData>
    <row r="1" ht="36" customHeight="1">
      <c r="A1" s="1" t="inlineStr">
        <is>
          <t>🌿 NutriAge · Base de Datos de Pacientes · Fernanda Ugarte</t>
        </is>
      </c>
    </row>
    <row r="2" ht="20" customHeight="1">
      <c r="A2" s="2" t="inlineStr">
        <is>
          <t>Registro principal de pacientes — sincronizar con Google Sheets</t>
        </is>
      </c>
    </row>
    <row r="3" ht="32" customHeight="1">
      <c r="A3" s="3" t="inlineStr">
        <is>
          <t>Ticket</t>
        </is>
      </c>
      <c r="B3" s="3" t="inlineStr">
        <is>
          <t>Nombre Completo</t>
        </is>
      </c>
      <c r="C3" s="3" t="inlineStr">
        <is>
          <t>Email</t>
        </is>
      </c>
      <c r="D3" s="3" t="inlineStr">
        <is>
          <t>Teléfono</t>
        </is>
      </c>
      <c r="E3" s="3" t="inlineStr">
        <is>
          <t>RUT / ID</t>
        </is>
      </c>
      <c r="F3" s="3" t="inlineStr">
        <is>
          <t>Edad</t>
        </is>
      </c>
      <c r="G3" s="3" t="inlineStr">
        <is>
          <t>Ocupación</t>
        </is>
      </c>
      <c r="H3" s="3" t="inlineStr">
        <is>
          <t>Peso (kg)</t>
        </is>
      </c>
      <c r="I3" s="3" t="inlineStr">
        <is>
          <t>Talla (m)</t>
        </is>
      </c>
      <c r="J3" s="3" t="inlineStr">
        <is>
          <t>IMC</t>
        </is>
      </c>
      <c r="K3" s="3" t="inlineStr">
        <is>
          <t>Motivo Consulta</t>
        </is>
      </c>
      <c r="L3" s="3" t="inlineStr">
        <is>
          <t>Fecha Cita</t>
        </is>
      </c>
      <c r="M3" s="3" t="inlineStr">
        <is>
          <t>Hora Cita</t>
        </is>
      </c>
      <c r="N3" s="3" t="inlineStr">
        <is>
          <t>Estado</t>
        </is>
      </c>
      <c r="O3" s="3" t="inlineStr">
        <is>
          <t>Comprobante</t>
        </is>
      </c>
      <c r="P3" s="3" t="inlineStr">
        <is>
          <t>WA Notificado</t>
        </is>
      </c>
      <c r="Q3" s="3" t="inlineStr">
        <is>
          <t>Fecha Registro</t>
        </is>
      </c>
      <c r="R3" s="3" t="inlineStr">
        <is>
          <t>Notas Internas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5">
        <f>IF(AND(H4&lt;&gt;"",I4&lt;&gt;""),ROUND(H4/(I4^2),1),"")</f>
        <v/>
      </c>
      <c r="K4" s="4" t="n"/>
      <c r="L4" s="4" t="n"/>
      <c r="M4" s="4" t="n"/>
      <c r="N4" s="4" t="n"/>
      <c r="O4" s="4" t="n"/>
      <c r="P4" s="4" t="n"/>
      <c r="Q4" s="4" t="n"/>
      <c r="R4" s="4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7">
        <f>IF(AND(H5&lt;&gt;"",I5&lt;&gt;""),ROUND(H5/(I5^2),1),"")</f>
        <v/>
      </c>
      <c r="K5" s="6" t="n"/>
      <c r="L5" s="6" t="n"/>
      <c r="M5" s="6" t="n"/>
      <c r="N5" s="6" t="n"/>
      <c r="O5" s="6" t="n"/>
      <c r="P5" s="6" t="n"/>
      <c r="Q5" s="6" t="n"/>
      <c r="R5" s="6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5">
        <f>IF(AND(H6&lt;&gt;"",I6&lt;&gt;""),ROUND(H6/(I6^2),1),"")</f>
        <v/>
      </c>
      <c r="K6" s="4" t="n"/>
      <c r="L6" s="4" t="n"/>
      <c r="M6" s="4" t="n"/>
      <c r="N6" s="4" t="n"/>
      <c r="O6" s="4" t="n"/>
      <c r="P6" s="4" t="n"/>
      <c r="Q6" s="4" t="n"/>
      <c r="R6" s="4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7">
        <f>IF(AND(H7&lt;&gt;"",I7&lt;&gt;""),ROUND(H7/(I7^2),1),"")</f>
        <v/>
      </c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5">
        <f>IF(AND(H8&lt;&gt;"",I8&lt;&gt;""),ROUND(H8/(I8^2),1),"")</f>
        <v/>
      </c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7">
        <f>IF(AND(H9&lt;&gt;"",I9&lt;&gt;""),ROUND(H9/(I9^2),1),"")</f>
        <v/>
      </c>
      <c r="K9" s="6" t="n"/>
      <c r="L9" s="6" t="n"/>
      <c r="M9" s="6" t="n"/>
      <c r="N9" s="6" t="n"/>
      <c r="O9" s="6" t="n"/>
      <c r="P9" s="6" t="n"/>
      <c r="Q9" s="6" t="n"/>
      <c r="R9" s="6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5">
        <f>IF(AND(H10&lt;&gt;"",I10&lt;&gt;""),ROUND(H10/(I10^2),1),"")</f>
        <v/>
      </c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7">
        <f>IF(AND(H11&lt;&gt;"",I11&lt;&gt;""),ROUND(H11/(I11^2),1),"")</f>
        <v/>
      </c>
      <c r="K11" s="6" t="n"/>
      <c r="L11" s="6" t="n"/>
      <c r="M11" s="6" t="n"/>
      <c r="N11" s="6" t="n"/>
      <c r="O11" s="6" t="n"/>
      <c r="P11" s="6" t="n"/>
      <c r="Q11" s="6" t="n"/>
      <c r="R11" s="6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5">
        <f>IF(AND(H12&lt;&gt;"",I12&lt;&gt;""),ROUND(H12/(I12^2),1),"")</f>
        <v/>
      </c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7">
        <f>IF(AND(H13&lt;&gt;"",I13&lt;&gt;""),ROUND(H13/(I13^2),1),"")</f>
        <v/>
      </c>
      <c r="K13" s="6" t="n"/>
      <c r="L13" s="6" t="n"/>
      <c r="M13" s="6" t="n"/>
      <c r="N13" s="6" t="n"/>
      <c r="O13" s="6" t="n"/>
      <c r="P13" s="6" t="n"/>
      <c r="Q13" s="6" t="n"/>
      <c r="R13" s="6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5">
        <f>IF(AND(H14&lt;&gt;"",I14&lt;&gt;""),ROUND(H14/(I14^2),1),"")</f>
        <v/>
      </c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7">
        <f>IF(AND(H15&lt;&gt;"",I15&lt;&gt;""),ROUND(H15/(I15^2),1),"")</f>
        <v/>
      </c>
      <c r="K15" s="6" t="n"/>
      <c r="L15" s="6" t="n"/>
      <c r="M15" s="6" t="n"/>
      <c r="N15" s="6" t="n"/>
      <c r="O15" s="6" t="n"/>
      <c r="P15" s="6" t="n"/>
      <c r="Q15" s="6" t="n"/>
      <c r="R15" s="6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5">
        <f>IF(AND(H16&lt;&gt;"",I16&lt;&gt;""),ROUND(H16/(I16^2),1),"")</f>
        <v/>
      </c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7">
        <f>IF(AND(H17&lt;&gt;"",I17&lt;&gt;""),ROUND(H17/(I17^2),1),"")</f>
        <v/>
      </c>
      <c r="K17" s="6" t="n"/>
      <c r="L17" s="6" t="n"/>
      <c r="M17" s="6" t="n"/>
      <c r="N17" s="6" t="n"/>
      <c r="O17" s="6" t="n"/>
      <c r="P17" s="6" t="n"/>
      <c r="Q17" s="6" t="n"/>
      <c r="R17" s="6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5">
        <f>IF(AND(H18&lt;&gt;"",I18&lt;&gt;""),ROUND(H18/(I18^2),1),"")</f>
        <v/>
      </c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7">
        <f>IF(AND(H19&lt;&gt;"",I19&lt;&gt;""),ROUND(H19/(I19^2),1),"")</f>
        <v/>
      </c>
      <c r="K19" s="6" t="n"/>
      <c r="L19" s="6" t="n"/>
      <c r="M19" s="6" t="n"/>
      <c r="N19" s="6" t="n"/>
      <c r="O19" s="6" t="n"/>
      <c r="P19" s="6" t="n"/>
      <c r="Q19" s="6" t="n"/>
      <c r="R19" s="6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5">
        <f>IF(AND(H20&lt;&gt;"",I20&lt;&gt;""),ROUND(H20/(I20^2),1),"")</f>
        <v/>
      </c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7">
        <f>IF(AND(H21&lt;&gt;"",I21&lt;&gt;""),ROUND(H21/(I21^2),1),"")</f>
        <v/>
      </c>
      <c r="K21" s="6" t="n"/>
      <c r="L21" s="6" t="n"/>
      <c r="M21" s="6" t="n"/>
      <c r="N21" s="6" t="n"/>
      <c r="O21" s="6" t="n"/>
      <c r="P21" s="6" t="n"/>
      <c r="Q21" s="6" t="n"/>
      <c r="R21" s="6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5">
        <f>IF(AND(H22&lt;&gt;"",I22&lt;&gt;""),ROUND(H22/(I22^2),1),"")</f>
        <v/>
      </c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7">
        <f>IF(AND(H23&lt;&gt;"",I23&lt;&gt;""),ROUND(H23/(I23^2),1),"")</f>
        <v/>
      </c>
      <c r="K23" s="6" t="n"/>
      <c r="L23" s="6" t="n"/>
      <c r="M23" s="6" t="n"/>
      <c r="N23" s="6" t="n"/>
      <c r="O23" s="6" t="n"/>
      <c r="P23" s="6" t="n"/>
      <c r="Q23" s="6" t="n"/>
      <c r="R23" s="6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5">
        <f>IF(AND(H24&lt;&gt;"",I24&lt;&gt;""),ROUND(H24/(I24^2),1),"")</f>
        <v/>
      </c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7">
        <f>IF(AND(H25&lt;&gt;"",I25&lt;&gt;""),ROUND(H25/(I25^2),1),"")</f>
        <v/>
      </c>
      <c r="K25" s="6" t="n"/>
      <c r="L25" s="6" t="n"/>
      <c r="M25" s="6" t="n"/>
      <c r="N25" s="6" t="n"/>
      <c r="O25" s="6" t="n"/>
      <c r="P25" s="6" t="n"/>
      <c r="Q25" s="6" t="n"/>
      <c r="R25" s="6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5">
        <f>IF(AND(H26&lt;&gt;"",I26&lt;&gt;""),ROUND(H26/(I26^2),1),"")</f>
        <v/>
      </c>
      <c r="K26" s="4" t="n"/>
      <c r="L26" s="4" t="n"/>
      <c r="M26" s="4" t="n"/>
      <c r="N26" s="4" t="n"/>
      <c r="O26" s="4" t="n"/>
      <c r="P26" s="4" t="n"/>
      <c r="Q26" s="4" t="n"/>
      <c r="R26" s="4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7">
        <f>IF(AND(H27&lt;&gt;"",I27&lt;&gt;""),ROUND(H27/(I27^2),1),"")</f>
        <v/>
      </c>
      <c r="K27" s="6" t="n"/>
      <c r="L27" s="6" t="n"/>
      <c r="M27" s="6" t="n"/>
      <c r="N27" s="6" t="n"/>
      <c r="O27" s="6" t="n"/>
      <c r="P27" s="6" t="n"/>
      <c r="Q27" s="6" t="n"/>
      <c r="R27" s="6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5">
        <f>IF(AND(H28&lt;&gt;"",I28&lt;&gt;""),ROUND(H28/(I28^2),1),"")</f>
        <v/>
      </c>
      <c r="K28" s="4" t="n"/>
      <c r="L28" s="4" t="n"/>
      <c r="M28" s="4" t="n"/>
      <c r="N28" s="4" t="n"/>
      <c r="O28" s="4" t="n"/>
      <c r="P28" s="4" t="n"/>
      <c r="Q28" s="4" t="n"/>
      <c r="R28" s="4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7">
        <f>IF(AND(H29&lt;&gt;"",I29&lt;&gt;""),ROUND(H29/(I29^2),1),"")</f>
        <v/>
      </c>
      <c r="K29" s="6" t="n"/>
      <c r="L29" s="6" t="n"/>
      <c r="M29" s="6" t="n"/>
      <c r="N29" s="6" t="n"/>
      <c r="O29" s="6" t="n"/>
      <c r="P29" s="6" t="n"/>
      <c r="Q29" s="6" t="n"/>
      <c r="R29" s="6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5">
        <f>IF(AND(H30&lt;&gt;"",I30&lt;&gt;""),ROUND(H30/(I30^2),1),"")</f>
        <v/>
      </c>
      <c r="K30" s="4" t="n"/>
      <c r="L30" s="4" t="n"/>
      <c r="M30" s="4" t="n"/>
      <c r="N30" s="4" t="n"/>
      <c r="O30" s="4" t="n"/>
      <c r="P30" s="4" t="n"/>
      <c r="Q30" s="4" t="n"/>
      <c r="R30" s="4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7">
        <f>IF(AND(H31&lt;&gt;"",I31&lt;&gt;""),ROUND(H31/(I31^2),1),"")</f>
        <v/>
      </c>
      <c r="K31" s="6" t="n"/>
      <c r="L31" s="6" t="n"/>
      <c r="M31" s="6" t="n"/>
      <c r="N31" s="6" t="n"/>
      <c r="O31" s="6" t="n"/>
      <c r="P31" s="6" t="n"/>
      <c r="Q31" s="6" t="n"/>
      <c r="R31" s="6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5">
        <f>IF(AND(H32&lt;&gt;"",I32&lt;&gt;""),ROUND(H32/(I32^2),1),"")</f>
        <v/>
      </c>
      <c r="K32" s="4" t="n"/>
      <c r="L32" s="4" t="n"/>
      <c r="M32" s="4" t="n"/>
      <c r="N32" s="4" t="n"/>
      <c r="O32" s="4" t="n"/>
      <c r="P32" s="4" t="n"/>
      <c r="Q32" s="4" t="n"/>
      <c r="R32" s="4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7">
        <f>IF(AND(H33&lt;&gt;"",I33&lt;&gt;""),ROUND(H33/(I33^2),1),"")</f>
        <v/>
      </c>
      <c r="K33" s="6" t="n"/>
      <c r="L33" s="6" t="n"/>
      <c r="M33" s="6" t="n"/>
      <c r="N33" s="6" t="n"/>
      <c r="O33" s="6" t="n"/>
      <c r="P33" s="6" t="n"/>
      <c r="Q33" s="6" t="n"/>
      <c r="R33" s="6" t="n"/>
    </row>
    <row r="34">
      <c r="A34" s="8" t="inlineStr">
        <is>
          <t>TOTALES</t>
        </is>
      </c>
    </row>
    <row r="36">
      <c r="A36" s="9" t="inlineStr">
        <is>
          <t>RESUMEN AUTOMÁTICO</t>
        </is>
      </c>
    </row>
    <row r="37">
      <c r="A37" s="10" t="inlineStr">
        <is>
          <t>Total pacientes registrados</t>
        </is>
      </c>
      <c r="B37" s="11" t="n"/>
      <c r="C37" s="11" t="n"/>
      <c r="D37" s="11" t="n"/>
      <c r="E37" s="11" t="n"/>
      <c r="F37" s="11" t="n"/>
      <c r="G37" s="11" t="n"/>
      <c r="H37" s="12" t="n"/>
      <c r="I37" s="13">
        <f>COUNTA(A4:A33)</f>
        <v/>
      </c>
      <c r="J37" s="11" t="n"/>
      <c r="K37" s="11" t="n"/>
      <c r="L37" s="11" t="n"/>
      <c r="M37" s="11" t="n"/>
      <c r="N37" s="11" t="n"/>
      <c r="O37" s="11" t="n"/>
      <c r="P37" s="11" t="n"/>
      <c r="Q37" s="11" t="n"/>
      <c r="R37" s="12" t="n"/>
    </row>
    <row r="38">
      <c r="A38" s="10" t="inlineStr">
        <is>
          <t>Citas confirmadas</t>
        </is>
      </c>
      <c r="B38" s="11" t="n"/>
      <c r="C38" s="11" t="n"/>
      <c r="D38" s="11" t="n"/>
      <c r="E38" s="11" t="n"/>
      <c r="F38" s="11" t="n"/>
      <c r="G38" s="11" t="n"/>
      <c r="H38" s="12" t="n"/>
      <c r="I38" s="13">
        <f>COUNTIF(N4:N33,"Confirmado")</f>
        <v/>
      </c>
      <c r="J38" s="11" t="n"/>
      <c r="K38" s="11" t="n"/>
      <c r="L38" s="11" t="n"/>
      <c r="M38" s="11" t="n"/>
      <c r="N38" s="11" t="n"/>
      <c r="O38" s="11" t="n"/>
      <c r="P38" s="11" t="n"/>
      <c r="Q38" s="11" t="n"/>
      <c r="R38" s="12" t="n"/>
    </row>
    <row r="39">
      <c r="A39" s="10" t="inlineStr">
        <is>
          <t>Citas completadas</t>
        </is>
      </c>
      <c r="B39" s="11" t="n"/>
      <c r="C39" s="11" t="n"/>
      <c r="D39" s="11" t="n"/>
      <c r="E39" s="11" t="n"/>
      <c r="F39" s="11" t="n"/>
      <c r="G39" s="11" t="n"/>
      <c r="H39" s="12" t="n"/>
      <c r="I39" s="13">
        <f>COUNTIF(N4:N33,"Completado")</f>
        <v/>
      </c>
      <c r="J39" s="11" t="n"/>
      <c r="K39" s="11" t="n"/>
      <c r="L39" s="11" t="n"/>
      <c r="M39" s="11" t="n"/>
      <c r="N39" s="11" t="n"/>
      <c r="O39" s="11" t="n"/>
      <c r="P39" s="11" t="n"/>
      <c r="Q39" s="11" t="n"/>
      <c r="R39" s="12" t="n"/>
    </row>
    <row r="40">
      <c r="A40" s="10" t="inlineStr">
        <is>
          <t>Citas pendientes</t>
        </is>
      </c>
      <c r="B40" s="11" t="n"/>
      <c r="C40" s="11" t="n"/>
      <c r="D40" s="11" t="n"/>
      <c r="E40" s="11" t="n"/>
      <c r="F40" s="11" t="n"/>
      <c r="G40" s="11" t="n"/>
      <c r="H40" s="12" t="n"/>
      <c r="I40" s="13">
        <f>COUNTIF(N4:N33,"Pendiente")</f>
        <v/>
      </c>
      <c r="J40" s="11" t="n"/>
      <c r="K40" s="11" t="n"/>
      <c r="L40" s="11" t="n"/>
      <c r="M40" s="11" t="n"/>
      <c r="N40" s="11" t="n"/>
      <c r="O40" s="11" t="n"/>
      <c r="P40" s="11" t="n"/>
      <c r="Q40" s="11" t="n"/>
      <c r="R40" s="12" t="n"/>
    </row>
    <row r="41">
      <c r="A41" s="10" t="inlineStr">
        <is>
          <t>Citas canceladas</t>
        </is>
      </c>
      <c r="B41" s="11" t="n"/>
      <c r="C41" s="11" t="n"/>
      <c r="D41" s="11" t="n"/>
      <c r="E41" s="11" t="n"/>
      <c r="F41" s="11" t="n"/>
      <c r="G41" s="11" t="n"/>
      <c r="H41" s="12" t="n"/>
      <c r="I41" s="13">
        <f>COUNTIF(N4:N33,"Cancelado")</f>
        <v/>
      </c>
      <c r="J41" s="11" t="n"/>
      <c r="K41" s="11" t="n"/>
      <c r="L41" s="11" t="n"/>
      <c r="M41" s="11" t="n"/>
      <c r="N41" s="11" t="n"/>
      <c r="O41" s="11" t="n"/>
      <c r="P41" s="11" t="n"/>
      <c r="Q41" s="11" t="n"/>
      <c r="R41" s="12" t="n"/>
    </row>
    <row r="42">
      <c r="A42" s="10" t="inlineStr">
        <is>
          <t>Comprobantes recibidos</t>
        </is>
      </c>
      <c r="B42" s="11" t="n"/>
      <c r="C42" s="11" t="n"/>
      <c r="D42" s="11" t="n"/>
      <c r="E42" s="11" t="n"/>
      <c r="F42" s="11" t="n"/>
      <c r="G42" s="11" t="n"/>
      <c r="H42" s="12" t="n"/>
      <c r="I42" s="13">
        <f>COUNTIF(O4:O33,"Sí")</f>
        <v/>
      </c>
      <c r="J42" s="11" t="n"/>
      <c r="K42" s="11" t="n"/>
      <c r="L42" s="11" t="n"/>
      <c r="M42" s="11" t="n"/>
      <c r="N42" s="11" t="n"/>
      <c r="O42" s="11" t="n"/>
      <c r="P42" s="11" t="n"/>
      <c r="Q42" s="11" t="n"/>
      <c r="R42" s="12" t="n"/>
    </row>
    <row r="43">
      <c r="A43" s="10" t="inlineStr">
        <is>
          <t>IMC promedio pacientes</t>
        </is>
      </c>
      <c r="B43" s="11" t="n"/>
      <c r="C43" s="11" t="n"/>
      <c r="D43" s="11" t="n"/>
      <c r="E43" s="11" t="n"/>
      <c r="F43" s="11" t="n"/>
      <c r="G43" s="11" t="n"/>
      <c r="H43" s="12" t="n"/>
      <c r="I43" s="13">
        <f>IFERROR(AVERAGE(J4:J33),"—")</f>
        <v/>
      </c>
      <c r="J43" s="11" t="n"/>
      <c r="K43" s="11" t="n"/>
      <c r="L43" s="11" t="n"/>
      <c r="M43" s="11" t="n"/>
      <c r="N43" s="11" t="n"/>
      <c r="O43" s="11" t="n"/>
      <c r="P43" s="11" t="n"/>
      <c r="Q43" s="11" t="n"/>
      <c r="R43" s="12" t="n"/>
    </row>
    <row r="44">
      <c r="A44" s="10" t="inlineStr">
        <is>
          <t>Ingresos estimados ($15.000 c/u)</t>
        </is>
      </c>
      <c r="B44" s="11" t="n"/>
      <c r="C44" s="11" t="n"/>
      <c r="D44" s="11" t="n"/>
      <c r="E44" s="11" t="n"/>
      <c r="F44" s="11" t="n"/>
      <c r="G44" s="11" t="n"/>
      <c r="H44" s="12" t="n"/>
      <c r="I44" s="13">
        <f>COUNTIF(N4:N33,"Completado")*15000</f>
        <v/>
      </c>
      <c r="J44" s="11" t="n"/>
      <c r="K44" s="11" t="n"/>
      <c r="L44" s="11" t="n"/>
      <c r="M44" s="11" t="n"/>
      <c r="N44" s="11" t="n"/>
      <c r="O44" s="11" t="n"/>
      <c r="P44" s="11" t="n"/>
      <c r="Q44" s="11" t="n"/>
      <c r="R44" s="12" t="n"/>
    </row>
  </sheetData>
  <mergeCells count="20">
    <mergeCell ref="A39:H39"/>
    <mergeCell ref="I39:R39"/>
    <mergeCell ref="I44:R44"/>
    <mergeCell ref="I38:R38"/>
    <mergeCell ref="A2:R2"/>
    <mergeCell ref="I40:R40"/>
    <mergeCell ref="A41:H41"/>
    <mergeCell ref="A37:H37"/>
    <mergeCell ref="A42:H42"/>
    <mergeCell ref="A34:I34"/>
    <mergeCell ref="I41:R41"/>
    <mergeCell ref="A40:H40"/>
    <mergeCell ref="I37:R37"/>
    <mergeCell ref="A43:H43"/>
    <mergeCell ref="A38:H38"/>
    <mergeCell ref="I43:R43"/>
    <mergeCell ref="A36:R36"/>
    <mergeCell ref="A1:R1"/>
    <mergeCell ref="A44:H44"/>
    <mergeCell ref="I42:R42"/>
  </mergeCells>
  <dataValidations count="2">
    <dataValidation sqref="N4:N500" showDropDown="0" showInputMessage="0" showErrorMessage="0" allowBlank="1" type="list">
      <formula1>"Pendiente,Confirmado,Completado,Cancelado,No asistió"</formula1>
    </dataValidation>
    <dataValidation sqref="P4:P5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5EA7"/>
    <outlinePr summaryBelow="1" summaryRight="1"/>
    <pageSetUpPr/>
  </sheetPr>
  <dimension ref="A1:AL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0" customWidth="1" min="10" max="10"/>
    <col width="28" customWidth="1" min="11" max="11"/>
    <col width="28" customWidth="1" min="12" max="12"/>
    <col width="28" customWidth="1" min="13" max="13"/>
    <col width="16" customWidth="1" min="14" max="14"/>
    <col width="28" customWidth="1" min="15" max="15"/>
    <col width="16" customWidth="1" min="16" max="16"/>
    <col width="16" customWidth="1" min="17" max="17"/>
    <col width="28" customWidth="1" min="18" max="18"/>
    <col width="40" customWidth="1" min="19" max="19"/>
    <col width="16" customWidth="1" min="20" max="20"/>
    <col width="28" customWidth="1" min="21" max="21"/>
    <col width="28" customWidth="1" min="22" max="22"/>
    <col width="28" customWidth="1" min="23" max="23"/>
    <col width="28" customWidth="1" min="24" max="24"/>
    <col width="40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40" customWidth="1" min="33" max="33"/>
    <col width="40" customWidth="1" min="34" max="34"/>
    <col width="16" customWidth="1" min="35" max="35"/>
    <col width="16" customWidth="1" min="36" max="36"/>
    <col width="16" customWidth="1" min="37" max="37"/>
    <col width="16" customWidth="1" min="38" max="38"/>
  </cols>
  <sheetData>
    <row r="1" ht="36" customHeight="1">
      <c r="A1" s="14" t="inlineStr">
        <is>
          <t>🩺 Formulario Clínico — Anamnesis Nutricional</t>
        </is>
      </c>
    </row>
    <row r="2">
      <c r="A2" s="15" t="inlineStr">
        <is>
          <t>Datos del cuestionario de ingreso — 1 fila por paciente</t>
        </is>
      </c>
    </row>
    <row r="3" ht="26" customHeight="1">
      <c r="A3" s="16" t="inlineStr">
        <is>
          <t>IDENTIFICACIÓN</t>
        </is>
      </c>
      <c r="J3" s="17" t="inlineStr">
        <is>
          <t>ANAMNESIS MÉDICA</t>
        </is>
      </c>
      <c r="O3" s="18" t="inlineStr">
        <is>
          <t>ESTILO DE VIDA</t>
        </is>
      </c>
      <c r="U3" s="19" t="inlineStr">
        <is>
          <t>ALERGIAS Y SUPLEMENTOS</t>
        </is>
      </c>
      <c r="W3" s="20" t="inlineStr">
        <is>
          <t>CONSUMO SUSTANCIAS</t>
        </is>
      </c>
      <c r="Y3" s="21" t="inlineStr">
        <is>
          <t>DIGESTIÓN</t>
        </is>
      </c>
      <c r="Z3" s="22" t="inlineStr">
        <is>
          <t>FRECUENCIA SEMANAL</t>
        </is>
      </c>
      <c r="AG3" s="23" t="inlineStr">
        <is>
          <t>REGISTRO 24H</t>
        </is>
      </c>
      <c r="AH3" s="24" t="inlineStr">
        <is>
          <t>CITA</t>
        </is>
      </c>
    </row>
    <row r="4" ht="28" customHeight="1">
      <c r="A4" s="25" t="inlineStr">
        <is>
          <t>Ticket</t>
        </is>
      </c>
      <c r="B4" s="25" t="inlineStr">
        <is>
          <t>Nombre</t>
        </is>
      </c>
      <c r="C4" s="25" t="inlineStr">
        <is>
          <t>Email</t>
        </is>
      </c>
      <c r="D4" s="25" t="inlineStr">
        <is>
          <t>Teléfono</t>
        </is>
      </c>
      <c r="E4" s="25" t="inlineStr">
        <is>
          <t>RUT/ID</t>
        </is>
      </c>
      <c r="F4" s="25" t="inlineStr">
        <is>
          <t>Edad</t>
        </is>
      </c>
      <c r="G4" s="25" t="inlineStr">
        <is>
          <t>Ocupación</t>
        </is>
      </c>
      <c r="H4" s="25" t="inlineStr">
        <is>
          <t>Peso(kg)</t>
        </is>
      </c>
      <c r="I4" s="25" t="inlineStr">
        <is>
          <t>Talla(m)</t>
        </is>
      </c>
      <c r="J4" s="25" t="inlineStr">
        <is>
          <t>Enfermedades</t>
        </is>
      </c>
      <c r="K4" s="25" t="inlineStr">
        <is>
          <t>Lesiones</t>
        </is>
      </c>
      <c r="L4" s="25" t="inlineStr">
        <is>
          <t>Antec. Familiar</t>
        </is>
      </c>
      <c r="M4" s="25" t="inlineStr">
        <is>
          <t>Cirugías</t>
        </is>
      </c>
      <c r="N4" s="25" t="inlineStr">
        <is>
          <t>Convivencia</t>
        </is>
      </c>
      <c r="O4" s="25" t="inlineStr">
        <is>
          <t>Act. Física</t>
        </is>
      </c>
      <c r="P4" s="25" t="inlineStr">
        <is>
          <t>Horario Act.</t>
        </is>
      </c>
      <c r="Q4" s="25" t="inlineStr">
        <is>
          <t>Horas Sueño</t>
        </is>
      </c>
      <c r="R4" s="25" t="inlineStr">
        <is>
          <t>No le gusta</t>
        </is>
      </c>
      <c r="S4" s="25" t="inlineStr">
        <is>
          <t>Almuerzo habitual</t>
        </is>
      </c>
      <c r="T4" s="25" t="inlineStr">
        <is>
          <t>Horario comidas</t>
        </is>
      </c>
      <c r="U4" s="25" t="inlineStr">
        <is>
          <t>Alergias/Intol.</t>
        </is>
      </c>
      <c r="V4" s="25" t="inlineStr">
        <is>
          <t>Suplementos</t>
        </is>
      </c>
      <c r="W4" s="25" t="inlineStr">
        <is>
          <t>Alcohol</t>
        </is>
      </c>
      <c r="X4" s="25" t="inlineStr">
        <is>
          <t>Tabaco/Drogas</t>
        </is>
      </c>
      <c r="Y4" s="25" t="inlineStr">
        <is>
          <t>Síntomas GI</t>
        </is>
      </c>
      <c r="Z4" s="25" t="inlineStr">
        <is>
          <t>Cereales</t>
        </is>
      </c>
      <c r="AA4" s="25" t="inlineStr">
        <is>
          <t>Legumbres</t>
        </is>
      </c>
      <c r="AB4" s="25" t="inlineStr">
        <is>
          <t>Pescado</t>
        </is>
      </c>
      <c r="AC4" s="25" t="inlineStr">
        <is>
          <t>Fruta</t>
        </is>
      </c>
      <c r="AD4" s="25" t="inlineStr">
        <is>
          <t>Verduras</t>
        </is>
      </c>
      <c r="AE4" s="25" t="inlineStr">
        <is>
          <t>Dulces</t>
        </is>
      </c>
      <c r="AF4" s="25" t="inlineStr">
        <is>
          <t>Lácteos</t>
        </is>
      </c>
      <c r="AG4" s="25" t="inlineStr">
        <is>
          <t>Registro 24 horas</t>
        </is>
      </c>
      <c r="AH4" s="25" t="inlineStr">
        <is>
          <t>Motivo consulta</t>
        </is>
      </c>
      <c r="AI4" s="25" t="inlineStr">
        <is>
          <t>Fecha cita</t>
        </is>
      </c>
      <c r="AJ4" s="25" t="inlineStr">
        <is>
          <t>Hora cita</t>
        </is>
      </c>
      <c r="AK4" s="25" t="inlineStr">
        <is>
          <t>Estado</t>
        </is>
      </c>
      <c r="AL4" s="25" t="inlineStr">
        <is>
          <t>Comprobante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</row>
  </sheetData>
  <mergeCells count="11">
    <mergeCell ref="A1:D1"/>
    <mergeCell ref="J3:N3"/>
    <mergeCell ref="U3:V3"/>
    <mergeCell ref="AG3"/>
    <mergeCell ref="AH3:AL3"/>
    <mergeCell ref="Z3:AF3"/>
    <mergeCell ref="Y3"/>
    <mergeCell ref="A3:I3"/>
    <mergeCell ref="A2:D2"/>
    <mergeCell ref="O3:T3"/>
    <mergeCell ref="W3:X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8C54"/>
    <outlinePr summaryBelow="1" summaryRight="1"/>
    <pageSetUpPr/>
  </sheetPr>
  <dimension ref="A1:M5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16" customWidth="1" min="4" max="4"/>
    <col width="14" customWidth="1" min="5" max="5"/>
    <col width="10" customWidth="1" min="6" max="6"/>
    <col width="14" customWidth="1" min="7" max="7"/>
    <col width="14" customWidth="1" min="8" max="8"/>
    <col width="14" customWidth="1" min="9" max="9"/>
    <col width="22" customWidth="1" min="10" max="10"/>
    <col width="18" customWidth="1" min="11" max="11"/>
    <col width="18" customWidth="1" min="12" max="12"/>
    <col width="36" customWidth="1" min="13" max="13"/>
  </cols>
  <sheetData>
    <row r="1" ht="36" customHeight="1">
      <c r="A1" s="26" t="inlineStr">
        <is>
          <t>📅 Gestión de Citas — NutriAge</t>
        </is>
      </c>
    </row>
    <row r="2">
      <c r="A2" s="27" t="inlineStr">
        <is>
          <t>Registro de todas las citas agendadas, confirmadas y realizadas</t>
        </is>
      </c>
    </row>
    <row r="3" ht="30" customHeight="1">
      <c r="A3" s="28" t="inlineStr">
        <is>
          <t>Ticket</t>
        </is>
      </c>
      <c r="B3" s="28" t="inlineStr">
        <is>
          <t>Nombre Paciente</t>
        </is>
      </c>
      <c r="C3" s="28" t="inlineStr">
        <is>
          <t>Email</t>
        </is>
      </c>
      <c r="D3" s="28" t="inlineStr">
        <is>
          <t>Teléfono</t>
        </is>
      </c>
      <c r="E3" s="28" t="inlineStr">
        <is>
          <t>Fecha Cita</t>
        </is>
      </c>
      <c r="F3" s="28" t="inlineStr">
        <is>
          <t>Hora Inicio</t>
        </is>
      </c>
      <c r="G3" s="28" t="inlineStr">
        <is>
          <t>Duración (min)</t>
        </is>
      </c>
      <c r="H3" s="28" t="inlineStr">
        <is>
          <t>Modalidad</t>
        </is>
      </c>
      <c r="I3" s="28" t="inlineStr">
        <is>
          <t>Estado</t>
        </is>
      </c>
      <c r="J3" s="28" t="inlineStr">
        <is>
          <t>Sala Jitsi</t>
        </is>
      </c>
      <c r="K3" s="28" t="inlineStr">
        <is>
          <t>WA Paciente Enviado</t>
        </is>
      </c>
      <c r="L3" s="28" t="inlineStr">
        <is>
          <t>WA Nutri Enviado</t>
        </is>
      </c>
      <c r="M3" s="28" t="inlineStr">
        <is>
          <t>Notas Post-Consulta</t>
        </is>
      </c>
    </row>
    <row r="4">
      <c r="A4" s="4" t="n"/>
      <c r="B4" s="4" t="n"/>
      <c r="C4" s="4" t="n"/>
      <c r="D4" s="4" t="n"/>
      <c r="E4" s="4" t="n"/>
      <c r="F4" s="4" t="n"/>
      <c r="G4" s="29" t="n">
        <v>45</v>
      </c>
      <c r="H4" s="4" t="n"/>
      <c r="I4" s="4" t="n"/>
      <c r="J4" s="4" t="n"/>
      <c r="K4" s="4" t="n"/>
      <c r="L4" s="4" t="n"/>
      <c r="M4" s="4" t="n"/>
    </row>
    <row r="5">
      <c r="A5" s="6" t="n"/>
      <c r="B5" s="6" t="n"/>
      <c r="C5" s="6" t="n"/>
      <c r="D5" s="6" t="n"/>
      <c r="E5" s="6" t="n"/>
      <c r="F5" s="6" t="n"/>
      <c r="G5" s="30" t="n">
        <v>45</v>
      </c>
      <c r="H5" s="6" t="n"/>
      <c r="I5" s="6" t="n"/>
      <c r="J5" s="6" t="n"/>
      <c r="K5" s="6" t="n"/>
      <c r="L5" s="6" t="n"/>
      <c r="M5" s="6" t="n"/>
    </row>
    <row r="6">
      <c r="A6" s="4" t="n"/>
      <c r="B6" s="4" t="n"/>
      <c r="C6" s="4" t="n"/>
      <c r="D6" s="4" t="n"/>
      <c r="E6" s="4" t="n"/>
      <c r="F6" s="4" t="n"/>
      <c r="G6" s="29" t="n">
        <v>45</v>
      </c>
      <c r="H6" s="4" t="n"/>
      <c r="I6" s="4" t="n"/>
      <c r="J6" s="4" t="n"/>
      <c r="K6" s="4" t="n"/>
      <c r="L6" s="4" t="n"/>
      <c r="M6" s="4" t="n"/>
    </row>
    <row r="7">
      <c r="A7" s="6" t="n"/>
      <c r="B7" s="6" t="n"/>
      <c r="C7" s="6" t="n"/>
      <c r="D7" s="6" t="n"/>
      <c r="E7" s="6" t="n"/>
      <c r="F7" s="6" t="n"/>
      <c r="G7" s="30" t="n">
        <v>45</v>
      </c>
      <c r="H7" s="6" t="n"/>
      <c r="I7" s="6" t="n"/>
      <c r="J7" s="6" t="n"/>
      <c r="K7" s="6" t="n"/>
      <c r="L7" s="6" t="n"/>
      <c r="M7" s="6" t="n"/>
    </row>
    <row r="8">
      <c r="A8" s="4" t="n"/>
      <c r="B8" s="4" t="n"/>
      <c r="C8" s="4" t="n"/>
      <c r="D8" s="4" t="n"/>
      <c r="E8" s="4" t="n"/>
      <c r="F8" s="4" t="n"/>
      <c r="G8" s="29" t="n">
        <v>45</v>
      </c>
      <c r="H8" s="4" t="n"/>
      <c r="I8" s="4" t="n"/>
      <c r="J8" s="4" t="n"/>
      <c r="K8" s="4" t="n"/>
      <c r="L8" s="4" t="n"/>
      <c r="M8" s="4" t="n"/>
    </row>
    <row r="9">
      <c r="A9" s="6" t="n"/>
      <c r="B9" s="6" t="n"/>
      <c r="C9" s="6" t="n"/>
      <c r="D9" s="6" t="n"/>
      <c r="E9" s="6" t="n"/>
      <c r="F9" s="6" t="n"/>
      <c r="G9" s="30" t="n">
        <v>45</v>
      </c>
      <c r="H9" s="6" t="n"/>
      <c r="I9" s="6" t="n"/>
      <c r="J9" s="6" t="n"/>
      <c r="K9" s="6" t="n"/>
      <c r="L9" s="6" t="n"/>
      <c r="M9" s="6" t="n"/>
    </row>
    <row r="10">
      <c r="A10" s="4" t="n"/>
      <c r="B10" s="4" t="n"/>
      <c r="C10" s="4" t="n"/>
      <c r="D10" s="4" t="n"/>
      <c r="E10" s="4" t="n"/>
      <c r="F10" s="4" t="n"/>
      <c r="G10" s="29" t="n">
        <v>45</v>
      </c>
      <c r="H10" s="4" t="n"/>
      <c r="I10" s="4" t="n"/>
      <c r="J10" s="4" t="n"/>
      <c r="K10" s="4" t="n"/>
      <c r="L10" s="4" t="n"/>
      <c r="M10" s="4" t="n"/>
    </row>
    <row r="11">
      <c r="A11" s="6" t="n"/>
      <c r="B11" s="6" t="n"/>
      <c r="C11" s="6" t="n"/>
      <c r="D11" s="6" t="n"/>
      <c r="E11" s="6" t="n"/>
      <c r="F11" s="6" t="n"/>
      <c r="G11" s="30" t="n">
        <v>45</v>
      </c>
      <c r="H11" s="6" t="n"/>
      <c r="I11" s="6" t="n"/>
      <c r="J11" s="6" t="n"/>
      <c r="K11" s="6" t="n"/>
      <c r="L11" s="6" t="n"/>
      <c r="M11" s="6" t="n"/>
    </row>
    <row r="12">
      <c r="A12" s="4" t="n"/>
      <c r="B12" s="4" t="n"/>
      <c r="C12" s="4" t="n"/>
      <c r="D12" s="4" t="n"/>
      <c r="E12" s="4" t="n"/>
      <c r="F12" s="4" t="n"/>
      <c r="G12" s="29" t="n">
        <v>45</v>
      </c>
      <c r="H12" s="4" t="n"/>
      <c r="I12" s="4" t="n"/>
      <c r="J12" s="4" t="n"/>
      <c r="K12" s="4" t="n"/>
      <c r="L12" s="4" t="n"/>
      <c r="M12" s="4" t="n"/>
    </row>
    <row r="13">
      <c r="A13" s="6" t="n"/>
      <c r="B13" s="6" t="n"/>
      <c r="C13" s="6" t="n"/>
      <c r="D13" s="6" t="n"/>
      <c r="E13" s="6" t="n"/>
      <c r="F13" s="6" t="n"/>
      <c r="G13" s="30" t="n">
        <v>45</v>
      </c>
      <c r="H13" s="6" t="n"/>
      <c r="I13" s="6" t="n"/>
      <c r="J13" s="6" t="n"/>
      <c r="K13" s="6" t="n"/>
      <c r="L13" s="6" t="n"/>
      <c r="M13" s="6" t="n"/>
    </row>
    <row r="14">
      <c r="A14" s="4" t="n"/>
      <c r="B14" s="4" t="n"/>
      <c r="C14" s="4" t="n"/>
      <c r="D14" s="4" t="n"/>
      <c r="E14" s="4" t="n"/>
      <c r="F14" s="4" t="n"/>
      <c r="G14" s="29" t="n">
        <v>45</v>
      </c>
      <c r="H14" s="4" t="n"/>
      <c r="I14" s="4" t="n"/>
      <c r="J14" s="4" t="n"/>
      <c r="K14" s="4" t="n"/>
      <c r="L14" s="4" t="n"/>
      <c r="M14" s="4" t="n"/>
    </row>
    <row r="15">
      <c r="A15" s="6" t="n"/>
      <c r="B15" s="6" t="n"/>
      <c r="C15" s="6" t="n"/>
      <c r="D15" s="6" t="n"/>
      <c r="E15" s="6" t="n"/>
      <c r="F15" s="6" t="n"/>
      <c r="G15" s="30" t="n">
        <v>45</v>
      </c>
      <c r="H15" s="6" t="n"/>
      <c r="I15" s="6" t="n"/>
      <c r="J15" s="6" t="n"/>
      <c r="K15" s="6" t="n"/>
      <c r="L15" s="6" t="n"/>
      <c r="M15" s="6" t="n"/>
    </row>
    <row r="16">
      <c r="A16" s="4" t="n"/>
      <c r="B16" s="4" t="n"/>
      <c r="C16" s="4" t="n"/>
      <c r="D16" s="4" t="n"/>
      <c r="E16" s="4" t="n"/>
      <c r="F16" s="4" t="n"/>
      <c r="G16" s="29" t="n">
        <v>45</v>
      </c>
      <c r="H16" s="4" t="n"/>
      <c r="I16" s="4" t="n"/>
      <c r="J16" s="4" t="n"/>
      <c r="K16" s="4" t="n"/>
      <c r="L16" s="4" t="n"/>
      <c r="M16" s="4" t="n"/>
    </row>
    <row r="17">
      <c r="A17" s="6" t="n"/>
      <c r="B17" s="6" t="n"/>
      <c r="C17" s="6" t="n"/>
      <c r="D17" s="6" t="n"/>
      <c r="E17" s="6" t="n"/>
      <c r="F17" s="6" t="n"/>
      <c r="G17" s="30" t="n">
        <v>45</v>
      </c>
      <c r="H17" s="6" t="n"/>
      <c r="I17" s="6" t="n"/>
      <c r="J17" s="6" t="n"/>
      <c r="K17" s="6" t="n"/>
      <c r="L17" s="6" t="n"/>
      <c r="M17" s="6" t="n"/>
    </row>
    <row r="18">
      <c r="A18" s="4" t="n"/>
      <c r="B18" s="4" t="n"/>
      <c r="C18" s="4" t="n"/>
      <c r="D18" s="4" t="n"/>
      <c r="E18" s="4" t="n"/>
      <c r="F18" s="4" t="n"/>
      <c r="G18" s="29" t="n">
        <v>45</v>
      </c>
      <c r="H18" s="4" t="n"/>
      <c r="I18" s="4" t="n"/>
      <c r="J18" s="4" t="n"/>
      <c r="K18" s="4" t="n"/>
      <c r="L18" s="4" t="n"/>
      <c r="M18" s="4" t="n"/>
    </row>
    <row r="19">
      <c r="A19" s="6" t="n"/>
      <c r="B19" s="6" t="n"/>
      <c r="C19" s="6" t="n"/>
      <c r="D19" s="6" t="n"/>
      <c r="E19" s="6" t="n"/>
      <c r="F19" s="6" t="n"/>
      <c r="G19" s="30" t="n">
        <v>45</v>
      </c>
      <c r="H19" s="6" t="n"/>
      <c r="I19" s="6" t="n"/>
      <c r="J19" s="6" t="n"/>
      <c r="K19" s="6" t="n"/>
      <c r="L19" s="6" t="n"/>
      <c r="M19" s="6" t="n"/>
    </row>
    <row r="20">
      <c r="A20" s="4" t="n"/>
      <c r="B20" s="4" t="n"/>
      <c r="C20" s="4" t="n"/>
      <c r="D20" s="4" t="n"/>
      <c r="E20" s="4" t="n"/>
      <c r="F20" s="4" t="n"/>
      <c r="G20" s="29" t="n">
        <v>45</v>
      </c>
      <c r="H20" s="4" t="n"/>
      <c r="I20" s="4" t="n"/>
      <c r="J20" s="4" t="n"/>
      <c r="K20" s="4" t="n"/>
      <c r="L20" s="4" t="n"/>
      <c r="M20" s="4" t="n"/>
    </row>
    <row r="21">
      <c r="A21" s="6" t="n"/>
      <c r="B21" s="6" t="n"/>
      <c r="C21" s="6" t="n"/>
      <c r="D21" s="6" t="n"/>
      <c r="E21" s="6" t="n"/>
      <c r="F21" s="6" t="n"/>
      <c r="G21" s="30" t="n">
        <v>45</v>
      </c>
      <c r="H21" s="6" t="n"/>
      <c r="I21" s="6" t="n"/>
      <c r="J21" s="6" t="n"/>
      <c r="K21" s="6" t="n"/>
      <c r="L21" s="6" t="n"/>
      <c r="M21" s="6" t="n"/>
    </row>
    <row r="22">
      <c r="A22" s="4" t="n"/>
      <c r="B22" s="4" t="n"/>
      <c r="C22" s="4" t="n"/>
      <c r="D22" s="4" t="n"/>
      <c r="E22" s="4" t="n"/>
      <c r="F22" s="4" t="n"/>
      <c r="G22" s="29" t="n">
        <v>45</v>
      </c>
      <c r="H22" s="4" t="n"/>
      <c r="I22" s="4" t="n"/>
      <c r="J22" s="4" t="n"/>
      <c r="K22" s="4" t="n"/>
      <c r="L22" s="4" t="n"/>
      <c r="M22" s="4" t="n"/>
    </row>
    <row r="23">
      <c r="A23" s="6" t="n"/>
      <c r="B23" s="6" t="n"/>
      <c r="C23" s="6" t="n"/>
      <c r="D23" s="6" t="n"/>
      <c r="E23" s="6" t="n"/>
      <c r="F23" s="6" t="n"/>
      <c r="G23" s="30" t="n">
        <v>45</v>
      </c>
      <c r="H23" s="6" t="n"/>
      <c r="I23" s="6" t="n"/>
      <c r="J23" s="6" t="n"/>
      <c r="K23" s="6" t="n"/>
      <c r="L23" s="6" t="n"/>
      <c r="M23" s="6" t="n"/>
    </row>
    <row r="24">
      <c r="A24" s="4" t="n"/>
      <c r="B24" s="4" t="n"/>
      <c r="C24" s="4" t="n"/>
      <c r="D24" s="4" t="n"/>
      <c r="E24" s="4" t="n"/>
      <c r="F24" s="4" t="n"/>
      <c r="G24" s="29" t="n">
        <v>45</v>
      </c>
      <c r="H24" s="4" t="n"/>
      <c r="I24" s="4" t="n"/>
      <c r="J24" s="4" t="n"/>
      <c r="K24" s="4" t="n"/>
      <c r="L24" s="4" t="n"/>
      <c r="M24" s="4" t="n"/>
    </row>
    <row r="25">
      <c r="A25" s="6" t="n"/>
      <c r="B25" s="6" t="n"/>
      <c r="C25" s="6" t="n"/>
      <c r="D25" s="6" t="n"/>
      <c r="E25" s="6" t="n"/>
      <c r="F25" s="6" t="n"/>
      <c r="G25" s="30" t="n">
        <v>45</v>
      </c>
      <c r="H25" s="6" t="n"/>
      <c r="I25" s="6" t="n"/>
      <c r="J25" s="6" t="n"/>
      <c r="K25" s="6" t="n"/>
      <c r="L25" s="6" t="n"/>
      <c r="M25" s="6" t="n"/>
    </row>
    <row r="26">
      <c r="A26" s="4" t="n"/>
      <c r="B26" s="4" t="n"/>
      <c r="C26" s="4" t="n"/>
      <c r="D26" s="4" t="n"/>
      <c r="E26" s="4" t="n"/>
      <c r="F26" s="4" t="n"/>
      <c r="G26" s="29" t="n">
        <v>45</v>
      </c>
      <c r="H26" s="4" t="n"/>
      <c r="I26" s="4" t="n"/>
      <c r="J26" s="4" t="n"/>
      <c r="K26" s="4" t="n"/>
      <c r="L26" s="4" t="n"/>
      <c r="M26" s="4" t="n"/>
    </row>
    <row r="27">
      <c r="A27" s="6" t="n"/>
      <c r="B27" s="6" t="n"/>
      <c r="C27" s="6" t="n"/>
      <c r="D27" s="6" t="n"/>
      <c r="E27" s="6" t="n"/>
      <c r="F27" s="6" t="n"/>
      <c r="G27" s="30" t="n">
        <v>45</v>
      </c>
      <c r="H27" s="6" t="n"/>
      <c r="I27" s="6" t="n"/>
      <c r="J27" s="6" t="n"/>
      <c r="K27" s="6" t="n"/>
      <c r="L27" s="6" t="n"/>
      <c r="M27" s="6" t="n"/>
    </row>
    <row r="28">
      <c r="A28" s="4" t="n"/>
      <c r="B28" s="4" t="n"/>
      <c r="C28" s="4" t="n"/>
      <c r="D28" s="4" t="n"/>
      <c r="E28" s="4" t="n"/>
      <c r="F28" s="4" t="n"/>
      <c r="G28" s="29" t="n">
        <v>45</v>
      </c>
      <c r="H28" s="4" t="n"/>
      <c r="I28" s="4" t="n"/>
      <c r="J28" s="4" t="n"/>
      <c r="K28" s="4" t="n"/>
      <c r="L28" s="4" t="n"/>
      <c r="M28" s="4" t="n"/>
    </row>
    <row r="29">
      <c r="A29" s="6" t="n"/>
      <c r="B29" s="6" t="n"/>
      <c r="C29" s="6" t="n"/>
      <c r="D29" s="6" t="n"/>
      <c r="E29" s="6" t="n"/>
      <c r="F29" s="6" t="n"/>
      <c r="G29" s="30" t="n">
        <v>45</v>
      </c>
      <c r="H29" s="6" t="n"/>
      <c r="I29" s="6" t="n"/>
      <c r="J29" s="6" t="n"/>
      <c r="K29" s="6" t="n"/>
      <c r="L29" s="6" t="n"/>
      <c r="M29" s="6" t="n"/>
    </row>
    <row r="30">
      <c r="A30" s="4" t="n"/>
      <c r="B30" s="4" t="n"/>
      <c r="C30" s="4" t="n"/>
      <c r="D30" s="4" t="n"/>
      <c r="E30" s="4" t="n"/>
      <c r="F30" s="4" t="n"/>
      <c r="G30" s="29" t="n">
        <v>45</v>
      </c>
      <c r="H30" s="4" t="n"/>
      <c r="I30" s="4" t="n"/>
      <c r="J30" s="4" t="n"/>
      <c r="K30" s="4" t="n"/>
      <c r="L30" s="4" t="n"/>
      <c r="M30" s="4" t="n"/>
    </row>
    <row r="31">
      <c r="A31" s="6" t="n"/>
      <c r="B31" s="6" t="n"/>
      <c r="C31" s="6" t="n"/>
      <c r="D31" s="6" t="n"/>
      <c r="E31" s="6" t="n"/>
      <c r="F31" s="6" t="n"/>
      <c r="G31" s="30" t="n">
        <v>45</v>
      </c>
      <c r="H31" s="6" t="n"/>
      <c r="I31" s="6" t="n"/>
      <c r="J31" s="6" t="n"/>
      <c r="K31" s="6" t="n"/>
      <c r="L31" s="6" t="n"/>
      <c r="M31" s="6" t="n"/>
    </row>
    <row r="32">
      <c r="A32" s="4" t="n"/>
      <c r="B32" s="4" t="n"/>
      <c r="C32" s="4" t="n"/>
      <c r="D32" s="4" t="n"/>
      <c r="E32" s="4" t="n"/>
      <c r="F32" s="4" t="n"/>
      <c r="G32" s="29" t="n">
        <v>45</v>
      </c>
      <c r="H32" s="4" t="n"/>
      <c r="I32" s="4" t="n"/>
      <c r="J32" s="4" t="n"/>
      <c r="K32" s="4" t="n"/>
      <c r="L32" s="4" t="n"/>
      <c r="M32" s="4" t="n"/>
    </row>
    <row r="33">
      <c r="A33" s="6" t="n"/>
      <c r="B33" s="6" t="n"/>
      <c r="C33" s="6" t="n"/>
      <c r="D33" s="6" t="n"/>
      <c r="E33" s="6" t="n"/>
      <c r="F33" s="6" t="n"/>
      <c r="G33" s="30" t="n">
        <v>45</v>
      </c>
      <c r="H33" s="6" t="n"/>
      <c r="I33" s="6" t="n"/>
      <c r="J33" s="6" t="n"/>
      <c r="K33" s="6" t="n"/>
      <c r="L33" s="6" t="n"/>
      <c r="M33" s="6" t="n"/>
    </row>
    <row r="34">
      <c r="A34" s="4" t="n"/>
      <c r="B34" s="4" t="n"/>
      <c r="C34" s="4" t="n"/>
      <c r="D34" s="4" t="n"/>
      <c r="E34" s="4" t="n"/>
      <c r="F34" s="4" t="n"/>
      <c r="G34" s="29" t="n">
        <v>45</v>
      </c>
      <c r="H34" s="4" t="n"/>
      <c r="I34" s="4" t="n"/>
      <c r="J34" s="4" t="n"/>
      <c r="K34" s="4" t="n"/>
      <c r="L34" s="4" t="n"/>
      <c r="M34" s="4" t="n"/>
    </row>
    <row r="35">
      <c r="A35" s="6" t="n"/>
      <c r="B35" s="6" t="n"/>
      <c r="C35" s="6" t="n"/>
      <c r="D35" s="6" t="n"/>
      <c r="E35" s="6" t="n"/>
      <c r="F35" s="6" t="n"/>
      <c r="G35" s="30" t="n">
        <v>45</v>
      </c>
      <c r="H35" s="6" t="n"/>
      <c r="I35" s="6" t="n"/>
      <c r="J35" s="6" t="n"/>
      <c r="K35" s="6" t="n"/>
      <c r="L35" s="6" t="n"/>
      <c r="M35" s="6" t="n"/>
    </row>
    <row r="36">
      <c r="A36" s="4" t="n"/>
      <c r="B36" s="4" t="n"/>
      <c r="C36" s="4" t="n"/>
      <c r="D36" s="4" t="n"/>
      <c r="E36" s="4" t="n"/>
      <c r="F36" s="4" t="n"/>
      <c r="G36" s="29" t="n">
        <v>45</v>
      </c>
      <c r="H36" s="4" t="n"/>
      <c r="I36" s="4" t="n"/>
      <c r="J36" s="4" t="n"/>
      <c r="K36" s="4" t="n"/>
      <c r="L36" s="4" t="n"/>
      <c r="M36" s="4" t="n"/>
    </row>
    <row r="37">
      <c r="A37" s="6" t="n"/>
      <c r="B37" s="6" t="n"/>
      <c r="C37" s="6" t="n"/>
      <c r="D37" s="6" t="n"/>
      <c r="E37" s="6" t="n"/>
      <c r="F37" s="6" t="n"/>
      <c r="G37" s="30" t="n">
        <v>45</v>
      </c>
      <c r="H37" s="6" t="n"/>
      <c r="I37" s="6" t="n"/>
      <c r="J37" s="6" t="n"/>
      <c r="K37" s="6" t="n"/>
      <c r="L37" s="6" t="n"/>
      <c r="M37" s="6" t="n"/>
    </row>
    <row r="38">
      <c r="A38" s="4" t="n"/>
      <c r="B38" s="4" t="n"/>
      <c r="C38" s="4" t="n"/>
      <c r="D38" s="4" t="n"/>
      <c r="E38" s="4" t="n"/>
      <c r="F38" s="4" t="n"/>
      <c r="G38" s="29" t="n">
        <v>45</v>
      </c>
      <c r="H38" s="4" t="n"/>
      <c r="I38" s="4" t="n"/>
      <c r="J38" s="4" t="n"/>
      <c r="K38" s="4" t="n"/>
      <c r="L38" s="4" t="n"/>
      <c r="M38" s="4" t="n"/>
    </row>
    <row r="39">
      <c r="A39" s="6" t="n"/>
      <c r="B39" s="6" t="n"/>
      <c r="C39" s="6" t="n"/>
      <c r="D39" s="6" t="n"/>
      <c r="E39" s="6" t="n"/>
      <c r="F39" s="6" t="n"/>
      <c r="G39" s="30" t="n">
        <v>45</v>
      </c>
      <c r="H39" s="6" t="n"/>
      <c r="I39" s="6" t="n"/>
      <c r="J39" s="6" t="n"/>
      <c r="K39" s="6" t="n"/>
      <c r="L39" s="6" t="n"/>
      <c r="M39" s="6" t="n"/>
    </row>
    <row r="40">
      <c r="A40" s="4" t="n"/>
      <c r="B40" s="4" t="n"/>
      <c r="C40" s="4" t="n"/>
      <c r="D40" s="4" t="n"/>
      <c r="E40" s="4" t="n"/>
      <c r="F40" s="4" t="n"/>
      <c r="G40" s="29" t="n">
        <v>45</v>
      </c>
      <c r="H40" s="4" t="n"/>
      <c r="I40" s="4" t="n"/>
      <c r="J40" s="4" t="n"/>
      <c r="K40" s="4" t="n"/>
      <c r="L40" s="4" t="n"/>
      <c r="M40" s="4" t="n"/>
    </row>
    <row r="41">
      <c r="A41" s="6" t="n"/>
      <c r="B41" s="6" t="n"/>
      <c r="C41" s="6" t="n"/>
      <c r="D41" s="6" t="n"/>
      <c r="E41" s="6" t="n"/>
      <c r="F41" s="6" t="n"/>
      <c r="G41" s="30" t="n">
        <v>45</v>
      </c>
      <c r="H41" s="6" t="n"/>
      <c r="I41" s="6" t="n"/>
      <c r="J41" s="6" t="n"/>
      <c r="K41" s="6" t="n"/>
      <c r="L41" s="6" t="n"/>
      <c r="M41" s="6" t="n"/>
    </row>
    <row r="42">
      <c r="A42" s="4" t="n"/>
      <c r="B42" s="4" t="n"/>
      <c r="C42" s="4" t="n"/>
      <c r="D42" s="4" t="n"/>
      <c r="E42" s="4" t="n"/>
      <c r="F42" s="4" t="n"/>
      <c r="G42" s="29" t="n">
        <v>45</v>
      </c>
      <c r="H42" s="4" t="n"/>
      <c r="I42" s="4" t="n"/>
      <c r="J42" s="4" t="n"/>
      <c r="K42" s="4" t="n"/>
      <c r="L42" s="4" t="n"/>
      <c r="M42" s="4" t="n"/>
    </row>
    <row r="43">
      <c r="A43" s="6" t="n"/>
      <c r="B43" s="6" t="n"/>
      <c r="C43" s="6" t="n"/>
      <c r="D43" s="6" t="n"/>
      <c r="E43" s="6" t="n"/>
      <c r="F43" s="6" t="n"/>
      <c r="G43" s="30" t="n">
        <v>45</v>
      </c>
      <c r="H43" s="6" t="n"/>
      <c r="I43" s="6" t="n"/>
      <c r="J43" s="6" t="n"/>
      <c r="K43" s="6" t="n"/>
      <c r="L43" s="6" t="n"/>
      <c r="M43" s="6" t="n"/>
    </row>
    <row r="44">
      <c r="A44" s="4" t="n"/>
      <c r="B44" s="4" t="n"/>
      <c r="C44" s="4" t="n"/>
      <c r="D44" s="4" t="n"/>
      <c r="E44" s="4" t="n"/>
      <c r="F44" s="4" t="n"/>
      <c r="G44" s="29" t="n">
        <v>45</v>
      </c>
      <c r="H44" s="4" t="n"/>
      <c r="I44" s="4" t="n"/>
      <c r="J44" s="4" t="n"/>
      <c r="K44" s="4" t="n"/>
      <c r="L44" s="4" t="n"/>
      <c r="M44" s="4" t="n"/>
    </row>
    <row r="45">
      <c r="A45" s="6" t="n"/>
      <c r="B45" s="6" t="n"/>
      <c r="C45" s="6" t="n"/>
      <c r="D45" s="6" t="n"/>
      <c r="E45" s="6" t="n"/>
      <c r="F45" s="6" t="n"/>
      <c r="G45" s="30" t="n">
        <v>45</v>
      </c>
      <c r="H45" s="6" t="n"/>
      <c r="I45" s="6" t="n"/>
      <c r="J45" s="6" t="n"/>
      <c r="K45" s="6" t="n"/>
      <c r="L45" s="6" t="n"/>
      <c r="M45" s="6" t="n"/>
    </row>
    <row r="46">
      <c r="A46" s="4" t="n"/>
      <c r="B46" s="4" t="n"/>
      <c r="C46" s="4" t="n"/>
      <c r="D46" s="4" t="n"/>
      <c r="E46" s="4" t="n"/>
      <c r="F46" s="4" t="n"/>
      <c r="G46" s="29" t="n">
        <v>45</v>
      </c>
      <c r="H46" s="4" t="n"/>
      <c r="I46" s="4" t="n"/>
      <c r="J46" s="4" t="n"/>
      <c r="K46" s="4" t="n"/>
      <c r="L46" s="4" t="n"/>
      <c r="M46" s="4" t="n"/>
    </row>
    <row r="47">
      <c r="A47" s="6" t="n"/>
      <c r="B47" s="6" t="n"/>
      <c r="C47" s="6" t="n"/>
      <c r="D47" s="6" t="n"/>
      <c r="E47" s="6" t="n"/>
      <c r="F47" s="6" t="n"/>
      <c r="G47" s="30" t="n">
        <v>45</v>
      </c>
      <c r="H47" s="6" t="n"/>
      <c r="I47" s="6" t="n"/>
      <c r="J47" s="6" t="n"/>
      <c r="K47" s="6" t="n"/>
      <c r="L47" s="6" t="n"/>
      <c r="M47" s="6" t="n"/>
    </row>
    <row r="48">
      <c r="A48" s="4" t="n"/>
      <c r="B48" s="4" t="n"/>
      <c r="C48" s="4" t="n"/>
      <c r="D48" s="4" t="n"/>
      <c r="E48" s="4" t="n"/>
      <c r="F48" s="4" t="n"/>
      <c r="G48" s="29" t="n">
        <v>45</v>
      </c>
      <c r="H48" s="4" t="n"/>
      <c r="I48" s="4" t="n"/>
      <c r="J48" s="4" t="n"/>
      <c r="K48" s="4" t="n"/>
      <c r="L48" s="4" t="n"/>
      <c r="M48" s="4" t="n"/>
    </row>
    <row r="49">
      <c r="A49" s="6" t="n"/>
      <c r="B49" s="6" t="n"/>
      <c r="C49" s="6" t="n"/>
      <c r="D49" s="6" t="n"/>
      <c r="E49" s="6" t="n"/>
      <c r="F49" s="6" t="n"/>
      <c r="G49" s="30" t="n">
        <v>45</v>
      </c>
      <c r="H49" s="6" t="n"/>
      <c r="I49" s="6" t="n"/>
      <c r="J49" s="6" t="n"/>
      <c r="K49" s="6" t="n"/>
      <c r="L49" s="6" t="n"/>
      <c r="M49" s="6" t="n"/>
    </row>
    <row r="50">
      <c r="A50" s="4" t="n"/>
      <c r="B50" s="4" t="n"/>
      <c r="C50" s="4" t="n"/>
      <c r="D50" s="4" t="n"/>
      <c r="E50" s="4" t="n"/>
      <c r="F50" s="4" t="n"/>
      <c r="G50" s="29" t="n">
        <v>45</v>
      </c>
      <c r="H50" s="4" t="n"/>
      <c r="I50" s="4" t="n"/>
      <c r="J50" s="4" t="n"/>
      <c r="K50" s="4" t="n"/>
      <c r="L50" s="4" t="n"/>
      <c r="M50" s="4" t="n"/>
    </row>
    <row r="51">
      <c r="A51" s="6" t="n"/>
      <c r="B51" s="6" t="n"/>
      <c r="C51" s="6" t="n"/>
      <c r="D51" s="6" t="n"/>
      <c r="E51" s="6" t="n"/>
      <c r="F51" s="6" t="n"/>
      <c r="G51" s="30" t="n">
        <v>45</v>
      </c>
      <c r="H51" s="6" t="n"/>
      <c r="I51" s="6" t="n"/>
      <c r="J51" s="6" t="n"/>
      <c r="K51" s="6" t="n"/>
      <c r="L51" s="6" t="n"/>
      <c r="M51" s="6" t="n"/>
    </row>
    <row r="52">
      <c r="A52" s="4" t="n"/>
      <c r="B52" s="4" t="n"/>
      <c r="C52" s="4" t="n"/>
      <c r="D52" s="4" t="n"/>
      <c r="E52" s="4" t="n"/>
      <c r="F52" s="4" t="n"/>
      <c r="G52" s="29" t="n">
        <v>45</v>
      </c>
      <c r="H52" s="4" t="n"/>
      <c r="I52" s="4" t="n"/>
      <c r="J52" s="4" t="n"/>
      <c r="K52" s="4" t="n"/>
      <c r="L52" s="4" t="n"/>
      <c r="M52" s="4" t="n"/>
    </row>
    <row r="53">
      <c r="A53" s="6" t="n"/>
      <c r="B53" s="6" t="n"/>
      <c r="C53" s="6" t="n"/>
      <c r="D53" s="6" t="n"/>
      <c r="E53" s="6" t="n"/>
      <c r="F53" s="6" t="n"/>
      <c r="G53" s="30" t="n">
        <v>45</v>
      </c>
      <c r="H53" s="6" t="n"/>
      <c r="I53" s="6" t="n"/>
      <c r="J53" s="6" t="n"/>
      <c r="K53" s="6" t="n"/>
      <c r="L53" s="6" t="n"/>
      <c r="M53" s="6" t="n"/>
    </row>
  </sheetData>
  <mergeCells count="2">
    <mergeCell ref="A2:M2"/>
    <mergeCell ref="A1:M1"/>
  </mergeCells>
  <dataValidations count="2">
    <dataValidation sqref="H4:H500" showDropDown="0" showInputMessage="0" showErrorMessage="0" allowBlank="1" type="list">
      <formula1>"Videollamada,Presencial,Híbrida"</formula1>
    </dataValidation>
    <dataValidation sqref="I4:I500" showDropDown="0" showInputMessage="0" showErrorMessage="0" allowBlank="1" type="list">
      <formula1>"Pendiente,Confirmado,En curso,Completado,Cancelado,No asistió"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47C2A"/>
    <outlinePr summaryBelow="1" summaryRight="1"/>
    <pageSetUpPr/>
  </sheetPr>
  <dimension ref="A1:L5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4" customWidth="1" min="3" max="3"/>
    <col width="14" customWidth="1" min="4" max="4"/>
    <col width="16" customWidth="1" min="5" max="5"/>
    <col width="14" customWidth="1" min="6" max="6"/>
    <col width="18" customWidth="1" min="7" max="7"/>
    <col width="20" customWidth="1" min="8" max="8"/>
    <col width="30" customWidth="1" min="9" max="9"/>
    <col width="20" customWidth="1" min="10" max="10"/>
    <col width="18" customWidth="1" min="11" max="11"/>
    <col width="28" customWidth="1" min="12" max="12"/>
  </cols>
  <sheetData>
    <row r="1" ht="36" customHeight="1">
      <c r="A1" s="31" t="inlineStr">
        <is>
          <t>💰 Registro de Pagos y Transferencias</t>
        </is>
      </c>
    </row>
    <row r="2">
      <c r="A2" s="32" t="inlineStr">
        <is>
          <t>Control de comprobantes, estados de pago e ingresos</t>
        </is>
      </c>
    </row>
    <row r="3" ht="30" customHeight="1">
      <c r="A3" s="33" t="inlineStr">
        <is>
          <t>Ticket</t>
        </is>
      </c>
      <c r="B3" s="33" t="inlineStr">
        <is>
          <t>Nombre Paciente</t>
        </is>
      </c>
      <c r="C3" s="33" t="inlineStr">
        <is>
          <t>Fecha Cita</t>
        </is>
      </c>
      <c r="D3" s="33" t="inlineStr">
        <is>
          <t>Monto ($CLP)</t>
        </is>
      </c>
      <c r="E3" s="33" t="inlineStr">
        <is>
          <t>Método Pago</t>
        </is>
      </c>
      <c r="F3" s="33" t="inlineStr">
        <is>
          <t>Estado Pago</t>
        </is>
      </c>
      <c r="G3" s="33" t="inlineStr">
        <is>
          <t>Fecha Transferencia</t>
        </is>
      </c>
      <c r="H3" s="33" t="inlineStr">
        <is>
          <t>Comprobante Recibido</t>
        </is>
      </c>
      <c r="I3" s="33" t="inlineStr">
        <is>
          <t>Nombre Archivo Comprobante</t>
        </is>
      </c>
      <c r="J3" s="33" t="inlineStr">
        <is>
          <t>RUT Titular Pago</t>
        </is>
      </c>
      <c r="K3" s="33" t="inlineStr">
        <is>
          <t>Banco Origen</t>
        </is>
      </c>
      <c r="L3" s="33" t="inlineStr">
        <is>
          <t>Notas</t>
        </is>
      </c>
    </row>
    <row r="4">
      <c r="A4" s="4" t="n"/>
      <c r="B4" s="4" t="n"/>
      <c r="C4" s="4" t="n"/>
      <c r="D4" s="34" t="n">
        <v>15000</v>
      </c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6" t="n"/>
      <c r="B5" s="6" t="n"/>
      <c r="C5" s="6" t="n"/>
      <c r="D5" s="35" t="n">
        <v>15000</v>
      </c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4" t="n"/>
      <c r="B6" s="4" t="n"/>
      <c r="C6" s="4" t="n"/>
      <c r="D6" s="34" t="n">
        <v>15000</v>
      </c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6" t="n"/>
      <c r="B7" s="6" t="n"/>
      <c r="C7" s="6" t="n"/>
      <c r="D7" s="35" t="n">
        <v>15000</v>
      </c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4" t="n"/>
      <c r="B8" s="4" t="n"/>
      <c r="C8" s="4" t="n"/>
      <c r="D8" s="34" t="n">
        <v>15000</v>
      </c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6" t="n"/>
      <c r="B9" s="6" t="n"/>
      <c r="C9" s="6" t="n"/>
      <c r="D9" s="35" t="n">
        <v>15000</v>
      </c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4" t="n"/>
      <c r="B10" s="4" t="n"/>
      <c r="C10" s="4" t="n"/>
      <c r="D10" s="34" t="n">
        <v>15000</v>
      </c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6" t="n"/>
      <c r="B11" s="6" t="n"/>
      <c r="C11" s="6" t="n"/>
      <c r="D11" s="35" t="n">
        <v>15000</v>
      </c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4" t="n"/>
      <c r="B12" s="4" t="n"/>
      <c r="C12" s="4" t="n"/>
      <c r="D12" s="34" t="n">
        <v>15000</v>
      </c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6" t="n"/>
      <c r="B13" s="6" t="n"/>
      <c r="C13" s="6" t="n"/>
      <c r="D13" s="35" t="n">
        <v>15000</v>
      </c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4" t="n"/>
      <c r="B14" s="4" t="n"/>
      <c r="C14" s="4" t="n"/>
      <c r="D14" s="34" t="n">
        <v>15000</v>
      </c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6" t="n"/>
      <c r="B15" s="6" t="n"/>
      <c r="C15" s="6" t="n"/>
      <c r="D15" s="35" t="n">
        <v>15000</v>
      </c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4" t="n"/>
      <c r="B16" s="4" t="n"/>
      <c r="C16" s="4" t="n"/>
      <c r="D16" s="34" t="n">
        <v>15000</v>
      </c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6" t="n"/>
      <c r="B17" s="6" t="n"/>
      <c r="C17" s="6" t="n"/>
      <c r="D17" s="35" t="n">
        <v>15000</v>
      </c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4" t="n"/>
      <c r="B18" s="4" t="n"/>
      <c r="C18" s="4" t="n"/>
      <c r="D18" s="34" t="n">
        <v>15000</v>
      </c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6" t="n"/>
      <c r="B19" s="6" t="n"/>
      <c r="C19" s="6" t="n"/>
      <c r="D19" s="35" t="n">
        <v>15000</v>
      </c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4" t="n"/>
      <c r="B20" s="4" t="n"/>
      <c r="C20" s="4" t="n"/>
      <c r="D20" s="34" t="n">
        <v>15000</v>
      </c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6" t="n"/>
      <c r="B21" s="6" t="n"/>
      <c r="C21" s="6" t="n"/>
      <c r="D21" s="35" t="n">
        <v>15000</v>
      </c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4" t="n"/>
      <c r="B22" s="4" t="n"/>
      <c r="C22" s="4" t="n"/>
      <c r="D22" s="34" t="n">
        <v>15000</v>
      </c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6" t="n"/>
      <c r="B23" s="6" t="n"/>
      <c r="C23" s="6" t="n"/>
      <c r="D23" s="35" t="n">
        <v>15000</v>
      </c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4" t="n"/>
      <c r="B24" s="4" t="n"/>
      <c r="C24" s="4" t="n"/>
      <c r="D24" s="34" t="n">
        <v>15000</v>
      </c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6" t="n"/>
      <c r="B25" s="6" t="n"/>
      <c r="C25" s="6" t="n"/>
      <c r="D25" s="35" t="n">
        <v>15000</v>
      </c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4" t="n"/>
      <c r="B26" s="4" t="n"/>
      <c r="C26" s="4" t="n"/>
      <c r="D26" s="34" t="n">
        <v>15000</v>
      </c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6" t="n"/>
      <c r="B27" s="6" t="n"/>
      <c r="C27" s="6" t="n"/>
      <c r="D27" s="35" t="n">
        <v>15000</v>
      </c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4" t="n"/>
      <c r="B28" s="4" t="n"/>
      <c r="C28" s="4" t="n"/>
      <c r="D28" s="34" t="n">
        <v>15000</v>
      </c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6" t="n"/>
      <c r="B29" s="6" t="n"/>
      <c r="C29" s="6" t="n"/>
      <c r="D29" s="35" t="n">
        <v>15000</v>
      </c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4" t="n"/>
      <c r="B30" s="4" t="n"/>
      <c r="C30" s="4" t="n"/>
      <c r="D30" s="34" t="n">
        <v>15000</v>
      </c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6" t="n"/>
      <c r="B31" s="6" t="n"/>
      <c r="C31" s="6" t="n"/>
      <c r="D31" s="35" t="n">
        <v>15000</v>
      </c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4" t="n"/>
      <c r="B32" s="4" t="n"/>
      <c r="C32" s="4" t="n"/>
      <c r="D32" s="34" t="n">
        <v>15000</v>
      </c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6" t="n"/>
      <c r="B33" s="6" t="n"/>
      <c r="C33" s="6" t="n"/>
      <c r="D33" s="35" t="n">
        <v>15000</v>
      </c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4" t="n"/>
      <c r="B34" s="4" t="n"/>
      <c r="C34" s="4" t="n"/>
      <c r="D34" s="34" t="n">
        <v>15000</v>
      </c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6" t="n"/>
      <c r="B35" s="6" t="n"/>
      <c r="C35" s="6" t="n"/>
      <c r="D35" s="35" t="n">
        <v>15000</v>
      </c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4" t="n"/>
      <c r="B36" s="4" t="n"/>
      <c r="C36" s="4" t="n"/>
      <c r="D36" s="34" t="n">
        <v>15000</v>
      </c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s="6" t="n"/>
      <c r="B37" s="6" t="n"/>
      <c r="C37" s="6" t="n"/>
      <c r="D37" s="35" t="n">
        <v>15000</v>
      </c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4" t="n"/>
      <c r="B38" s="4" t="n"/>
      <c r="C38" s="4" t="n"/>
      <c r="D38" s="34" t="n">
        <v>15000</v>
      </c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6" t="n"/>
      <c r="B39" s="6" t="n"/>
      <c r="C39" s="6" t="n"/>
      <c r="D39" s="35" t="n">
        <v>15000</v>
      </c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4" t="n"/>
      <c r="B40" s="4" t="n"/>
      <c r="C40" s="4" t="n"/>
      <c r="D40" s="34" t="n">
        <v>15000</v>
      </c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s="6" t="n"/>
      <c r="B41" s="6" t="n"/>
      <c r="C41" s="6" t="n"/>
      <c r="D41" s="35" t="n">
        <v>15000</v>
      </c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4" t="n"/>
      <c r="B42" s="4" t="n"/>
      <c r="C42" s="4" t="n"/>
      <c r="D42" s="34" t="n">
        <v>15000</v>
      </c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6" t="n"/>
      <c r="B43" s="6" t="n"/>
      <c r="C43" s="6" t="n"/>
      <c r="D43" s="35" t="n">
        <v>15000</v>
      </c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4" t="n"/>
      <c r="B44" s="4" t="n"/>
      <c r="C44" s="4" t="n"/>
      <c r="D44" s="34" t="n">
        <v>15000</v>
      </c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6" t="n"/>
      <c r="B45" s="6" t="n"/>
      <c r="C45" s="6" t="n"/>
      <c r="D45" s="35" t="n">
        <v>15000</v>
      </c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4" t="n"/>
      <c r="B46" s="4" t="n"/>
      <c r="C46" s="4" t="n"/>
      <c r="D46" s="34" t="n">
        <v>15000</v>
      </c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A47" s="6" t="n"/>
      <c r="B47" s="6" t="n"/>
      <c r="C47" s="6" t="n"/>
      <c r="D47" s="35" t="n">
        <v>15000</v>
      </c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4" t="n"/>
      <c r="B48" s="4" t="n"/>
      <c r="C48" s="4" t="n"/>
      <c r="D48" s="34" t="n">
        <v>15000</v>
      </c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6" t="n"/>
      <c r="B49" s="6" t="n"/>
      <c r="C49" s="6" t="n"/>
      <c r="D49" s="35" t="n">
        <v>15000</v>
      </c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4" t="n"/>
      <c r="B50" s="4" t="n"/>
      <c r="C50" s="4" t="n"/>
      <c r="D50" s="34" t="n">
        <v>15000</v>
      </c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6" t="n"/>
      <c r="B51" s="6" t="n"/>
      <c r="C51" s="6" t="n"/>
      <c r="D51" s="35" t="n">
        <v>15000</v>
      </c>
      <c r="E51" s="6" t="n"/>
      <c r="F51" s="6" t="n"/>
      <c r="G51" s="6" t="n"/>
      <c r="H51" s="6" t="n"/>
      <c r="I51" s="6" t="n"/>
      <c r="J51" s="6" t="n"/>
      <c r="K51" s="6" t="n"/>
      <c r="L51" s="6" t="n"/>
    </row>
    <row r="52">
      <c r="A52" s="4" t="n"/>
      <c r="B52" s="4" t="n"/>
      <c r="C52" s="4" t="n"/>
      <c r="D52" s="34" t="n">
        <v>15000</v>
      </c>
      <c r="E52" s="4" t="n"/>
      <c r="F52" s="4" t="n"/>
      <c r="G52" s="4" t="n"/>
      <c r="H52" s="4" t="n"/>
      <c r="I52" s="4" t="n"/>
      <c r="J52" s="4" t="n"/>
      <c r="K52" s="4" t="n"/>
      <c r="L52" s="4" t="n"/>
    </row>
    <row r="53">
      <c r="A53" s="6" t="n"/>
      <c r="B53" s="6" t="n"/>
      <c r="C53" s="6" t="n"/>
      <c r="D53" s="35" t="n">
        <v>15000</v>
      </c>
      <c r="E53" s="6" t="n"/>
      <c r="F53" s="6" t="n"/>
      <c r="G53" s="6" t="n"/>
      <c r="H53" s="6" t="n"/>
      <c r="I53" s="6" t="n"/>
      <c r="J53" s="6" t="n"/>
      <c r="K53" s="6" t="n"/>
      <c r="L53" s="6" t="n"/>
    </row>
    <row r="55">
      <c r="A55" s="9" t="inlineStr">
        <is>
          <t>TOTAL INGRESOS VERIFICADOS</t>
        </is>
      </c>
      <c r="D55" s="36">
        <f>SUMIF(F4:F53,"Verificado",D4:D53)</f>
        <v/>
      </c>
    </row>
    <row r="56">
      <c r="A56" s="37" t="inlineStr">
        <is>
          <t>TOTAL INGRESOS RECIBIDOS (no verificados)</t>
        </is>
      </c>
      <c r="D56" s="38">
        <f>SUMIF(F4:F53,"Recibido",D4:D53)</f>
        <v/>
      </c>
    </row>
  </sheetData>
  <mergeCells count="6">
    <mergeCell ref="A2:L2"/>
    <mergeCell ref="A1:L1"/>
    <mergeCell ref="A56:C56"/>
    <mergeCell ref="D56:L56"/>
    <mergeCell ref="A55:C55"/>
    <mergeCell ref="D55:L55"/>
  </mergeCells>
  <dataValidations count="3">
    <dataValidation sqref="E4:E500" showDropDown="0" showInputMessage="0" showErrorMessage="0" allowBlank="1" type="list">
      <formula1>"Transferencia,Efectivo,Mercado Pago,Pendiente"</formula1>
    </dataValidation>
    <dataValidation sqref="F4:F500" showDropDown="0" showInputMessage="0" showErrorMessage="0" allowBlank="1" type="list">
      <formula1>"Pendiente,Recibido,Verificado,Rechazado"</formula1>
    </dataValidation>
    <dataValidation sqref="H4:H500" showDropDown="0" showInputMessage="0" showErrorMessage="0" allowBlank="1" type="list">
      <formula1>"Sí,No,Pendiente"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6A085"/>
    <outlinePr summaryBelow="1" summaryRight="1"/>
    <pageSetUpPr/>
  </sheetPr>
  <dimension ref="A1:I2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22" customWidth="1" min="5" max="5"/>
    <col width="24" customWidth="1" min="6" max="6"/>
    <col width="16" customWidth="1" min="7" max="7"/>
    <col width="22" customWidth="1" min="8" max="8"/>
    <col width="20" customWidth="1" min="9" max="9"/>
  </cols>
  <sheetData>
    <row r="1" ht="36" customHeight="1">
      <c r="A1" s="39" t="inlineStr">
        <is>
          <t>🗓️ Disponibilidad Semanal — Horarios Habilitados</t>
        </is>
      </c>
    </row>
    <row r="2">
      <c r="A2" s="15" t="inlineStr">
        <is>
          <t>Define los horarios disponibles para agendar. Modificar aquí refleja automáticamente en el sitio web.</t>
        </is>
      </c>
    </row>
    <row r="3" ht="30" customHeight="1">
      <c r="A3" s="3" t="inlineStr">
        <is>
          <t>Fecha</t>
        </is>
      </c>
      <c r="B3" s="3" t="inlineStr">
        <is>
          <t>Día Semana</t>
        </is>
      </c>
      <c r="C3" s="3" t="inlineStr">
        <is>
          <t>Hora</t>
        </is>
      </c>
      <c r="D3" s="3" t="inlineStr">
        <is>
          <t>Disponible</t>
        </is>
      </c>
      <c r="E3" s="3" t="inlineStr">
        <is>
          <t>Reservado por (Ticket)</t>
        </is>
      </c>
      <c r="F3" s="3" t="inlineStr">
        <is>
          <t>Nombre Paciente</t>
        </is>
      </c>
      <c r="G3" s="3" t="inlineStr">
        <is>
          <t>Tipo Bloqueo</t>
        </is>
      </c>
      <c r="H3" s="3" t="inlineStr">
        <is>
          <t>Motivo Bloqueo</t>
        </is>
      </c>
      <c r="I3" s="3" t="inlineStr">
        <is>
          <t>Notas</t>
        </is>
      </c>
    </row>
    <row r="4">
      <c r="A4" s="4" t="inlineStr">
        <is>
          <t>2026-04-10</t>
        </is>
      </c>
      <c r="B4" s="4" t="inlineStr">
        <is>
          <t>Viernes</t>
        </is>
      </c>
      <c r="C4" s="4" t="inlineStr">
        <is>
          <t>09:00</t>
        </is>
      </c>
      <c r="D4" s="4" t="inlineStr">
        <is>
          <t>Sí</t>
        </is>
      </c>
      <c r="E4" s="4" t="n"/>
      <c r="F4" s="4" t="n"/>
      <c r="G4" s="4" t="n"/>
      <c r="H4" s="4" t="n"/>
      <c r="I4" s="4" t="n"/>
    </row>
    <row r="5">
      <c r="A5" s="6" t="inlineStr">
        <is>
          <t>2026-04-10</t>
        </is>
      </c>
      <c r="B5" s="6" t="inlineStr">
        <is>
          <t>Viernes</t>
        </is>
      </c>
      <c r="C5" s="6" t="inlineStr">
        <is>
          <t>09:45</t>
        </is>
      </c>
      <c r="D5" s="6" t="inlineStr">
        <is>
          <t>Sí</t>
        </is>
      </c>
      <c r="E5" s="6" t="n"/>
      <c r="F5" s="6" t="n"/>
      <c r="G5" s="6" t="n"/>
      <c r="H5" s="6" t="n"/>
      <c r="I5" s="6" t="n"/>
    </row>
    <row r="6">
      <c r="A6" s="4" t="inlineStr">
        <is>
          <t>2026-04-10</t>
        </is>
      </c>
      <c r="B6" s="4" t="inlineStr">
        <is>
          <t>Viernes</t>
        </is>
      </c>
      <c r="C6" s="4" t="inlineStr">
        <is>
          <t>10:30</t>
        </is>
      </c>
      <c r="D6" s="4" t="inlineStr">
        <is>
          <t>Sí</t>
        </is>
      </c>
      <c r="E6" s="4" t="n"/>
      <c r="F6" s="4" t="n"/>
      <c r="G6" s="4" t="n"/>
      <c r="H6" s="4" t="n"/>
      <c r="I6" s="4" t="n"/>
    </row>
    <row r="7">
      <c r="A7" s="6" t="inlineStr">
        <is>
          <t>2026-04-10</t>
        </is>
      </c>
      <c r="B7" s="6" t="inlineStr">
        <is>
          <t>Viernes</t>
        </is>
      </c>
      <c r="C7" s="6" t="inlineStr">
        <is>
          <t>11:15</t>
        </is>
      </c>
      <c r="D7" s="6" t="inlineStr">
        <is>
          <t>Sí</t>
        </is>
      </c>
      <c r="E7" s="6" t="n"/>
      <c r="F7" s="6" t="n"/>
      <c r="G7" s="6" t="n"/>
      <c r="H7" s="6" t="n"/>
      <c r="I7" s="6" t="n"/>
    </row>
    <row r="8">
      <c r="A8" s="4" t="inlineStr">
        <is>
          <t>2026-04-10</t>
        </is>
      </c>
      <c r="B8" s="4" t="inlineStr">
        <is>
          <t>Viernes</t>
        </is>
      </c>
      <c r="C8" s="4" t="inlineStr">
        <is>
          <t>12:00</t>
        </is>
      </c>
      <c r="D8" s="4" t="inlineStr">
        <is>
          <t>Sí</t>
        </is>
      </c>
      <c r="E8" s="4" t="n"/>
      <c r="F8" s="4" t="n"/>
      <c r="G8" s="4" t="n"/>
      <c r="H8" s="4" t="n"/>
      <c r="I8" s="4" t="n"/>
    </row>
    <row r="9">
      <c r="A9" s="6" t="inlineStr">
        <is>
          <t>2026-04-10</t>
        </is>
      </c>
      <c r="B9" s="6" t="inlineStr">
        <is>
          <t>Viernes</t>
        </is>
      </c>
      <c r="C9" s="6" t="inlineStr">
        <is>
          <t>15:00</t>
        </is>
      </c>
      <c r="D9" s="6" t="inlineStr">
        <is>
          <t>Sí</t>
        </is>
      </c>
      <c r="E9" s="6" t="n"/>
      <c r="F9" s="6" t="n"/>
      <c r="G9" s="6" t="n"/>
      <c r="H9" s="6" t="n"/>
      <c r="I9" s="6" t="n"/>
    </row>
    <row r="10">
      <c r="A10" s="4" t="inlineStr">
        <is>
          <t>2026-04-10</t>
        </is>
      </c>
      <c r="B10" s="4" t="inlineStr">
        <is>
          <t>Viernes</t>
        </is>
      </c>
      <c r="C10" s="4" t="inlineStr">
        <is>
          <t>15:45</t>
        </is>
      </c>
      <c r="D10" s="4" t="inlineStr">
        <is>
          <t>Sí</t>
        </is>
      </c>
      <c r="E10" s="4" t="n"/>
      <c r="F10" s="4" t="n"/>
      <c r="G10" s="4" t="n"/>
      <c r="H10" s="4" t="n"/>
      <c r="I10" s="4" t="n"/>
    </row>
    <row r="11">
      <c r="A11" s="6" t="inlineStr">
        <is>
          <t>2026-04-10</t>
        </is>
      </c>
      <c r="B11" s="6" t="inlineStr">
        <is>
          <t>Viernes</t>
        </is>
      </c>
      <c r="C11" s="6" t="inlineStr">
        <is>
          <t>16:30</t>
        </is>
      </c>
      <c r="D11" s="6" t="inlineStr">
        <is>
          <t>Sí</t>
        </is>
      </c>
      <c r="E11" s="6" t="n"/>
      <c r="F11" s="6" t="n"/>
      <c r="G11" s="6" t="n"/>
      <c r="H11" s="6" t="n"/>
      <c r="I11" s="6" t="n"/>
    </row>
    <row r="12">
      <c r="A12" s="4" t="inlineStr">
        <is>
          <t>2026-04-10</t>
        </is>
      </c>
      <c r="B12" s="4" t="inlineStr">
        <is>
          <t>Viernes</t>
        </is>
      </c>
      <c r="C12" s="4" t="inlineStr">
        <is>
          <t>17:15</t>
        </is>
      </c>
      <c r="D12" s="4" t="inlineStr">
        <is>
          <t>Sí</t>
        </is>
      </c>
      <c r="E12" s="4" t="n"/>
      <c r="F12" s="4" t="n"/>
      <c r="G12" s="4" t="n"/>
      <c r="H12" s="4" t="n"/>
      <c r="I12" s="4" t="n"/>
    </row>
    <row r="13">
      <c r="A13" s="6" t="inlineStr">
        <is>
          <t>2026-04-13</t>
        </is>
      </c>
      <c r="B13" s="6" t="inlineStr">
        <is>
          <t>Lunes</t>
        </is>
      </c>
      <c r="C13" s="6" t="inlineStr">
        <is>
          <t>09:00</t>
        </is>
      </c>
      <c r="D13" s="6" t="inlineStr">
        <is>
          <t>Sí</t>
        </is>
      </c>
      <c r="E13" s="6" t="n"/>
      <c r="F13" s="6" t="n"/>
      <c r="G13" s="6" t="n"/>
      <c r="H13" s="6" t="n"/>
      <c r="I13" s="6" t="n"/>
    </row>
    <row r="14">
      <c r="A14" s="4" t="inlineStr">
        <is>
          <t>2026-04-13</t>
        </is>
      </c>
      <c r="B14" s="4" t="inlineStr">
        <is>
          <t>Lunes</t>
        </is>
      </c>
      <c r="C14" s="4" t="inlineStr">
        <is>
          <t>09:45</t>
        </is>
      </c>
      <c r="D14" s="4" t="inlineStr">
        <is>
          <t>Sí</t>
        </is>
      </c>
      <c r="E14" s="4" t="n"/>
      <c r="F14" s="4" t="n"/>
      <c r="G14" s="4" t="n"/>
      <c r="H14" s="4" t="n"/>
      <c r="I14" s="4" t="n"/>
    </row>
    <row r="15">
      <c r="A15" s="6" t="inlineStr">
        <is>
          <t>2026-04-13</t>
        </is>
      </c>
      <c r="B15" s="6" t="inlineStr">
        <is>
          <t>Lunes</t>
        </is>
      </c>
      <c r="C15" s="6" t="inlineStr">
        <is>
          <t>10:30</t>
        </is>
      </c>
      <c r="D15" s="6" t="inlineStr">
        <is>
          <t>Sí</t>
        </is>
      </c>
      <c r="E15" s="6" t="n"/>
      <c r="F15" s="6" t="n"/>
      <c r="G15" s="6" t="n"/>
      <c r="H15" s="6" t="n"/>
      <c r="I15" s="6" t="n"/>
    </row>
    <row r="16">
      <c r="A16" s="4" t="inlineStr">
        <is>
          <t>2026-04-13</t>
        </is>
      </c>
      <c r="B16" s="4" t="inlineStr">
        <is>
          <t>Lunes</t>
        </is>
      </c>
      <c r="C16" s="4" t="inlineStr">
        <is>
          <t>11:15</t>
        </is>
      </c>
      <c r="D16" s="4" t="inlineStr">
        <is>
          <t>Sí</t>
        </is>
      </c>
      <c r="E16" s="4" t="n"/>
      <c r="F16" s="4" t="n"/>
      <c r="G16" s="4" t="n"/>
      <c r="H16" s="4" t="n"/>
      <c r="I16" s="4" t="n"/>
    </row>
    <row r="17">
      <c r="A17" s="6" t="inlineStr">
        <is>
          <t>2026-04-13</t>
        </is>
      </c>
      <c r="B17" s="6" t="inlineStr">
        <is>
          <t>Lunes</t>
        </is>
      </c>
      <c r="C17" s="6" t="inlineStr">
        <is>
          <t>12:00</t>
        </is>
      </c>
      <c r="D17" s="6" t="inlineStr">
        <is>
          <t>Sí</t>
        </is>
      </c>
      <c r="E17" s="6" t="n"/>
      <c r="F17" s="6" t="n"/>
      <c r="G17" s="6" t="n"/>
      <c r="H17" s="6" t="n"/>
      <c r="I17" s="6" t="n"/>
    </row>
    <row r="18">
      <c r="A18" s="4" t="inlineStr">
        <is>
          <t>2026-04-13</t>
        </is>
      </c>
      <c r="B18" s="4" t="inlineStr">
        <is>
          <t>Lunes</t>
        </is>
      </c>
      <c r="C18" s="4" t="inlineStr">
        <is>
          <t>15:00</t>
        </is>
      </c>
      <c r="D18" s="4" t="inlineStr">
        <is>
          <t>Sí</t>
        </is>
      </c>
      <c r="E18" s="4" t="n"/>
      <c r="F18" s="4" t="n"/>
      <c r="G18" s="4" t="n"/>
      <c r="H18" s="4" t="n"/>
      <c r="I18" s="4" t="n"/>
    </row>
    <row r="19">
      <c r="A19" s="6" t="inlineStr">
        <is>
          <t>2026-04-13</t>
        </is>
      </c>
      <c r="B19" s="6" t="inlineStr">
        <is>
          <t>Lunes</t>
        </is>
      </c>
      <c r="C19" s="6" t="inlineStr">
        <is>
          <t>15:45</t>
        </is>
      </c>
      <c r="D19" s="6" t="inlineStr">
        <is>
          <t>Sí</t>
        </is>
      </c>
      <c r="E19" s="6" t="n"/>
      <c r="F19" s="6" t="n"/>
      <c r="G19" s="6" t="n"/>
      <c r="H19" s="6" t="n"/>
      <c r="I19" s="6" t="n"/>
    </row>
    <row r="20">
      <c r="A20" s="4" t="inlineStr">
        <is>
          <t>2026-04-13</t>
        </is>
      </c>
      <c r="B20" s="4" t="inlineStr">
        <is>
          <t>Lunes</t>
        </is>
      </c>
      <c r="C20" s="4" t="inlineStr">
        <is>
          <t>16:30</t>
        </is>
      </c>
      <c r="D20" s="4" t="inlineStr">
        <is>
          <t>Sí</t>
        </is>
      </c>
      <c r="E20" s="4" t="n"/>
      <c r="F20" s="4" t="n"/>
      <c r="G20" s="4" t="n"/>
      <c r="H20" s="4" t="n"/>
      <c r="I20" s="4" t="n"/>
    </row>
    <row r="21">
      <c r="A21" s="6" t="inlineStr">
        <is>
          <t>2026-04-13</t>
        </is>
      </c>
      <c r="B21" s="6" t="inlineStr">
        <is>
          <t>Lunes</t>
        </is>
      </c>
      <c r="C21" s="6" t="inlineStr">
        <is>
          <t>17:15</t>
        </is>
      </c>
      <c r="D21" s="6" t="inlineStr">
        <is>
          <t>Sí</t>
        </is>
      </c>
      <c r="E21" s="6" t="n"/>
      <c r="F21" s="6" t="n"/>
      <c r="G21" s="6" t="n"/>
      <c r="H21" s="6" t="n"/>
      <c r="I21" s="6" t="n"/>
    </row>
    <row r="22">
      <c r="A22" s="4" t="inlineStr">
        <is>
          <t>2026-04-14</t>
        </is>
      </c>
      <c r="B22" s="4" t="inlineStr">
        <is>
          <t>Martes</t>
        </is>
      </c>
      <c r="C22" s="4" t="inlineStr">
        <is>
          <t>09:00</t>
        </is>
      </c>
      <c r="D22" s="4" t="inlineStr">
        <is>
          <t>Sí</t>
        </is>
      </c>
      <c r="E22" s="4" t="n"/>
      <c r="F22" s="4" t="n"/>
      <c r="G22" s="4" t="n"/>
      <c r="H22" s="4" t="n"/>
      <c r="I22" s="4" t="n"/>
    </row>
    <row r="23">
      <c r="A23" s="6" t="inlineStr">
        <is>
          <t>2026-04-14</t>
        </is>
      </c>
      <c r="B23" s="6" t="inlineStr">
        <is>
          <t>Martes</t>
        </is>
      </c>
      <c r="C23" s="6" t="inlineStr">
        <is>
          <t>09:45</t>
        </is>
      </c>
      <c r="D23" s="6" t="inlineStr">
        <is>
          <t>Sí</t>
        </is>
      </c>
      <c r="E23" s="6" t="n"/>
      <c r="F23" s="6" t="n"/>
      <c r="G23" s="6" t="n"/>
      <c r="H23" s="6" t="n"/>
      <c r="I23" s="6" t="n"/>
    </row>
    <row r="24">
      <c r="A24" s="4" t="inlineStr">
        <is>
          <t>2026-04-14</t>
        </is>
      </c>
      <c r="B24" s="4" t="inlineStr">
        <is>
          <t>Martes</t>
        </is>
      </c>
      <c r="C24" s="4" t="inlineStr">
        <is>
          <t>10:30</t>
        </is>
      </c>
      <c r="D24" s="4" t="inlineStr">
        <is>
          <t>Sí</t>
        </is>
      </c>
      <c r="E24" s="4" t="n"/>
      <c r="F24" s="4" t="n"/>
      <c r="G24" s="4" t="n"/>
      <c r="H24" s="4" t="n"/>
      <c r="I24" s="4" t="n"/>
    </row>
    <row r="25">
      <c r="A25" s="6" t="inlineStr">
        <is>
          <t>2026-04-14</t>
        </is>
      </c>
      <c r="B25" s="6" t="inlineStr">
        <is>
          <t>Martes</t>
        </is>
      </c>
      <c r="C25" s="6" t="inlineStr">
        <is>
          <t>11:15</t>
        </is>
      </c>
      <c r="D25" s="6" t="inlineStr">
        <is>
          <t>Sí</t>
        </is>
      </c>
      <c r="E25" s="6" t="n"/>
      <c r="F25" s="6" t="n"/>
      <c r="G25" s="6" t="n"/>
      <c r="H25" s="6" t="n"/>
      <c r="I25" s="6" t="n"/>
    </row>
    <row r="26">
      <c r="A26" s="4" t="inlineStr">
        <is>
          <t>2026-04-14</t>
        </is>
      </c>
      <c r="B26" s="4" t="inlineStr">
        <is>
          <t>Martes</t>
        </is>
      </c>
      <c r="C26" s="4" t="inlineStr">
        <is>
          <t>12:00</t>
        </is>
      </c>
      <c r="D26" s="4" t="inlineStr">
        <is>
          <t>Sí</t>
        </is>
      </c>
      <c r="E26" s="4" t="n"/>
      <c r="F26" s="4" t="n"/>
      <c r="G26" s="4" t="n"/>
      <c r="H26" s="4" t="n"/>
      <c r="I26" s="4" t="n"/>
    </row>
    <row r="27">
      <c r="A27" s="6" t="inlineStr">
        <is>
          <t>2026-04-14</t>
        </is>
      </c>
      <c r="B27" s="6" t="inlineStr">
        <is>
          <t>Martes</t>
        </is>
      </c>
      <c r="C27" s="6" t="inlineStr">
        <is>
          <t>15:00</t>
        </is>
      </c>
      <c r="D27" s="6" t="inlineStr">
        <is>
          <t>Sí</t>
        </is>
      </c>
      <c r="E27" s="6" t="n"/>
      <c r="F27" s="6" t="n"/>
      <c r="G27" s="6" t="n"/>
      <c r="H27" s="6" t="n"/>
      <c r="I27" s="6" t="n"/>
    </row>
    <row r="28">
      <c r="A28" s="4" t="inlineStr">
        <is>
          <t>2026-04-14</t>
        </is>
      </c>
      <c r="B28" s="4" t="inlineStr">
        <is>
          <t>Martes</t>
        </is>
      </c>
      <c r="C28" s="4" t="inlineStr">
        <is>
          <t>15:45</t>
        </is>
      </c>
      <c r="D28" s="4" t="inlineStr">
        <is>
          <t>Sí</t>
        </is>
      </c>
      <c r="E28" s="4" t="n"/>
      <c r="F28" s="4" t="n"/>
      <c r="G28" s="4" t="n"/>
      <c r="H28" s="4" t="n"/>
      <c r="I28" s="4" t="n"/>
    </row>
    <row r="29">
      <c r="A29" s="6" t="inlineStr">
        <is>
          <t>2026-04-14</t>
        </is>
      </c>
      <c r="B29" s="6" t="inlineStr">
        <is>
          <t>Martes</t>
        </is>
      </c>
      <c r="C29" s="6" t="inlineStr">
        <is>
          <t>16:30</t>
        </is>
      </c>
      <c r="D29" s="6" t="inlineStr">
        <is>
          <t>Sí</t>
        </is>
      </c>
      <c r="E29" s="6" t="n"/>
      <c r="F29" s="6" t="n"/>
      <c r="G29" s="6" t="n"/>
      <c r="H29" s="6" t="n"/>
      <c r="I29" s="6" t="n"/>
    </row>
    <row r="30">
      <c r="A30" s="4" t="inlineStr">
        <is>
          <t>2026-04-14</t>
        </is>
      </c>
      <c r="B30" s="4" t="inlineStr">
        <is>
          <t>Martes</t>
        </is>
      </c>
      <c r="C30" s="4" t="inlineStr">
        <is>
          <t>17:15</t>
        </is>
      </c>
      <c r="D30" s="4" t="inlineStr">
        <is>
          <t>Sí</t>
        </is>
      </c>
      <c r="E30" s="4" t="n"/>
      <c r="F30" s="4" t="n"/>
      <c r="G30" s="4" t="n"/>
      <c r="H30" s="4" t="n"/>
      <c r="I30" s="4" t="n"/>
    </row>
    <row r="31">
      <c r="A31" s="6" t="inlineStr">
        <is>
          <t>2026-04-15</t>
        </is>
      </c>
      <c r="B31" s="6" t="inlineStr">
        <is>
          <t>Miércoles</t>
        </is>
      </c>
      <c r="C31" s="6" t="inlineStr">
        <is>
          <t>09:00</t>
        </is>
      </c>
      <c r="D31" s="6" t="inlineStr">
        <is>
          <t>Sí</t>
        </is>
      </c>
      <c r="E31" s="6" t="n"/>
      <c r="F31" s="6" t="n"/>
      <c r="G31" s="6" t="n"/>
      <c r="H31" s="6" t="n"/>
      <c r="I31" s="6" t="n"/>
    </row>
    <row r="32">
      <c r="A32" s="4" t="inlineStr">
        <is>
          <t>2026-04-15</t>
        </is>
      </c>
      <c r="B32" s="4" t="inlineStr">
        <is>
          <t>Miércoles</t>
        </is>
      </c>
      <c r="C32" s="4" t="inlineStr">
        <is>
          <t>09:45</t>
        </is>
      </c>
      <c r="D32" s="4" t="inlineStr">
        <is>
          <t>Sí</t>
        </is>
      </c>
      <c r="E32" s="4" t="n"/>
      <c r="F32" s="4" t="n"/>
      <c r="G32" s="4" t="n"/>
      <c r="H32" s="4" t="n"/>
      <c r="I32" s="4" t="n"/>
    </row>
    <row r="33">
      <c r="A33" s="6" t="inlineStr">
        <is>
          <t>2026-04-15</t>
        </is>
      </c>
      <c r="B33" s="6" t="inlineStr">
        <is>
          <t>Miércoles</t>
        </is>
      </c>
      <c r="C33" s="6" t="inlineStr">
        <is>
          <t>10:30</t>
        </is>
      </c>
      <c r="D33" s="6" t="inlineStr">
        <is>
          <t>Sí</t>
        </is>
      </c>
      <c r="E33" s="6" t="n"/>
      <c r="F33" s="6" t="n"/>
      <c r="G33" s="6" t="n"/>
      <c r="H33" s="6" t="n"/>
      <c r="I33" s="6" t="n"/>
    </row>
    <row r="34">
      <c r="A34" s="4" t="inlineStr">
        <is>
          <t>2026-04-15</t>
        </is>
      </c>
      <c r="B34" s="4" t="inlineStr">
        <is>
          <t>Miércoles</t>
        </is>
      </c>
      <c r="C34" s="4" t="inlineStr">
        <is>
          <t>11:15</t>
        </is>
      </c>
      <c r="D34" s="4" t="inlineStr">
        <is>
          <t>Sí</t>
        </is>
      </c>
      <c r="E34" s="4" t="n"/>
      <c r="F34" s="4" t="n"/>
      <c r="G34" s="4" t="n"/>
      <c r="H34" s="4" t="n"/>
      <c r="I34" s="4" t="n"/>
    </row>
    <row r="35">
      <c r="A35" s="6" t="inlineStr">
        <is>
          <t>2026-04-15</t>
        </is>
      </c>
      <c r="B35" s="6" t="inlineStr">
        <is>
          <t>Miércoles</t>
        </is>
      </c>
      <c r="C35" s="6" t="inlineStr">
        <is>
          <t>12:00</t>
        </is>
      </c>
      <c r="D35" s="6" t="inlineStr">
        <is>
          <t>Sí</t>
        </is>
      </c>
      <c r="E35" s="6" t="n"/>
      <c r="F35" s="6" t="n"/>
      <c r="G35" s="6" t="n"/>
      <c r="H35" s="6" t="n"/>
      <c r="I35" s="6" t="n"/>
    </row>
    <row r="36">
      <c r="A36" s="4" t="inlineStr">
        <is>
          <t>2026-04-15</t>
        </is>
      </c>
      <c r="B36" s="4" t="inlineStr">
        <is>
          <t>Miércoles</t>
        </is>
      </c>
      <c r="C36" s="4" t="inlineStr">
        <is>
          <t>15:00</t>
        </is>
      </c>
      <c r="D36" s="4" t="inlineStr">
        <is>
          <t>Sí</t>
        </is>
      </c>
      <c r="E36" s="4" t="n"/>
      <c r="F36" s="4" t="n"/>
      <c r="G36" s="4" t="n"/>
      <c r="H36" s="4" t="n"/>
      <c r="I36" s="4" t="n"/>
    </row>
    <row r="37">
      <c r="A37" s="6" t="inlineStr">
        <is>
          <t>2026-04-15</t>
        </is>
      </c>
      <c r="B37" s="6" t="inlineStr">
        <is>
          <t>Miércoles</t>
        </is>
      </c>
      <c r="C37" s="6" t="inlineStr">
        <is>
          <t>15:45</t>
        </is>
      </c>
      <c r="D37" s="6" t="inlineStr">
        <is>
          <t>Sí</t>
        </is>
      </c>
      <c r="E37" s="6" t="n"/>
      <c r="F37" s="6" t="n"/>
      <c r="G37" s="6" t="n"/>
      <c r="H37" s="6" t="n"/>
      <c r="I37" s="6" t="n"/>
    </row>
    <row r="38">
      <c r="A38" s="4" t="inlineStr">
        <is>
          <t>2026-04-15</t>
        </is>
      </c>
      <c r="B38" s="4" t="inlineStr">
        <is>
          <t>Miércoles</t>
        </is>
      </c>
      <c r="C38" s="4" t="inlineStr">
        <is>
          <t>16:30</t>
        </is>
      </c>
      <c r="D38" s="4" t="inlineStr">
        <is>
          <t>Sí</t>
        </is>
      </c>
      <c r="E38" s="4" t="n"/>
      <c r="F38" s="4" t="n"/>
      <c r="G38" s="4" t="n"/>
      <c r="H38" s="4" t="n"/>
      <c r="I38" s="4" t="n"/>
    </row>
    <row r="39">
      <c r="A39" s="6" t="inlineStr">
        <is>
          <t>2026-04-15</t>
        </is>
      </c>
      <c r="B39" s="6" t="inlineStr">
        <is>
          <t>Miércoles</t>
        </is>
      </c>
      <c r="C39" s="6" t="inlineStr">
        <is>
          <t>17:15</t>
        </is>
      </c>
      <c r="D39" s="6" t="inlineStr">
        <is>
          <t>Sí</t>
        </is>
      </c>
      <c r="E39" s="6" t="n"/>
      <c r="F39" s="6" t="n"/>
      <c r="G39" s="6" t="n"/>
      <c r="H39" s="6" t="n"/>
      <c r="I39" s="6" t="n"/>
    </row>
    <row r="40">
      <c r="A40" s="4" t="inlineStr">
        <is>
          <t>2026-04-16</t>
        </is>
      </c>
      <c r="B40" s="4" t="inlineStr">
        <is>
          <t>Jueves</t>
        </is>
      </c>
      <c r="C40" s="4" t="inlineStr">
        <is>
          <t>09:00</t>
        </is>
      </c>
      <c r="D40" s="4" t="inlineStr">
        <is>
          <t>Sí</t>
        </is>
      </c>
      <c r="E40" s="4" t="n"/>
      <c r="F40" s="4" t="n"/>
      <c r="G40" s="4" t="n"/>
      <c r="H40" s="4" t="n"/>
      <c r="I40" s="4" t="n"/>
    </row>
    <row r="41">
      <c r="A41" s="6" t="inlineStr">
        <is>
          <t>2026-04-16</t>
        </is>
      </c>
      <c r="B41" s="6" t="inlineStr">
        <is>
          <t>Jueves</t>
        </is>
      </c>
      <c r="C41" s="6" t="inlineStr">
        <is>
          <t>09:45</t>
        </is>
      </c>
      <c r="D41" s="6" t="inlineStr">
        <is>
          <t>Sí</t>
        </is>
      </c>
      <c r="E41" s="6" t="n"/>
      <c r="F41" s="6" t="n"/>
      <c r="G41" s="6" t="n"/>
      <c r="H41" s="6" t="n"/>
      <c r="I41" s="6" t="n"/>
    </row>
    <row r="42">
      <c r="A42" s="4" t="inlineStr">
        <is>
          <t>2026-04-16</t>
        </is>
      </c>
      <c r="B42" s="4" t="inlineStr">
        <is>
          <t>Jueves</t>
        </is>
      </c>
      <c r="C42" s="4" t="inlineStr">
        <is>
          <t>10:30</t>
        </is>
      </c>
      <c r="D42" s="4" t="inlineStr">
        <is>
          <t>Sí</t>
        </is>
      </c>
      <c r="E42" s="4" t="n"/>
      <c r="F42" s="4" t="n"/>
      <c r="G42" s="4" t="n"/>
      <c r="H42" s="4" t="n"/>
      <c r="I42" s="4" t="n"/>
    </row>
    <row r="43">
      <c r="A43" s="6" t="inlineStr">
        <is>
          <t>2026-04-16</t>
        </is>
      </c>
      <c r="B43" s="6" t="inlineStr">
        <is>
          <t>Jueves</t>
        </is>
      </c>
      <c r="C43" s="6" t="inlineStr">
        <is>
          <t>11:15</t>
        </is>
      </c>
      <c r="D43" s="6" t="inlineStr">
        <is>
          <t>Sí</t>
        </is>
      </c>
      <c r="E43" s="6" t="n"/>
      <c r="F43" s="6" t="n"/>
      <c r="G43" s="6" t="n"/>
      <c r="H43" s="6" t="n"/>
      <c r="I43" s="6" t="n"/>
    </row>
    <row r="44">
      <c r="A44" s="4" t="inlineStr">
        <is>
          <t>2026-04-16</t>
        </is>
      </c>
      <c r="B44" s="4" t="inlineStr">
        <is>
          <t>Jueves</t>
        </is>
      </c>
      <c r="C44" s="4" t="inlineStr">
        <is>
          <t>12:00</t>
        </is>
      </c>
      <c r="D44" s="4" t="inlineStr">
        <is>
          <t>Sí</t>
        </is>
      </c>
      <c r="E44" s="4" t="n"/>
      <c r="F44" s="4" t="n"/>
      <c r="G44" s="4" t="n"/>
      <c r="H44" s="4" t="n"/>
      <c r="I44" s="4" t="n"/>
    </row>
    <row r="45">
      <c r="A45" s="6" t="inlineStr">
        <is>
          <t>2026-04-16</t>
        </is>
      </c>
      <c r="B45" s="6" t="inlineStr">
        <is>
          <t>Jueves</t>
        </is>
      </c>
      <c r="C45" s="6" t="inlineStr">
        <is>
          <t>15:00</t>
        </is>
      </c>
      <c r="D45" s="6" t="inlineStr">
        <is>
          <t>Sí</t>
        </is>
      </c>
      <c r="E45" s="6" t="n"/>
      <c r="F45" s="6" t="n"/>
      <c r="G45" s="6" t="n"/>
      <c r="H45" s="6" t="n"/>
      <c r="I45" s="6" t="n"/>
    </row>
    <row r="46">
      <c r="A46" s="4" t="inlineStr">
        <is>
          <t>2026-04-16</t>
        </is>
      </c>
      <c r="B46" s="4" t="inlineStr">
        <is>
          <t>Jueves</t>
        </is>
      </c>
      <c r="C46" s="4" t="inlineStr">
        <is>
          <t>15:45</t>
        </is>
      </c>
      <c r="D46" s="4" t="inlineStr">
        <is>
          <t>Sí</t>
        </is>
      </c>
      <c r="E46" s="4" t="n"/>
      <c r="F46" s="4" t="n"/>
      <c r="G46" s="4" t="n"/>
      <c r="H46" s="4" t="n"/>
      <c r="I46" s="4" t="n"/>
    </row>
    <row r="47">
      <c r="A47" s="6" t="inlineStr">
        <is>
          <t>2026-04-16</t>
        </is>
      </c>
      <c r="B47" s="6" t="inlineStr">
        <is>
          <t>Jueves</t>
        </is>
      </c>
      <c r="C47" s="6" t="inlineStr">
        <is>
          <t>16:30</t>
        </is>
      </c>
      <c r="D47" s="6" t="inlineStr">
        <is>
          <t>Sí</t>
        </is>
      </c>
      <c r="E47" s="6" t="n"/>
      <c r="F47" s="6" t="n"/>
      <c r="G47" s="6" t="n"/>
      <c r="H47" s="6" t="n"/>
      <c r="I47" s="6" t="n"/>
    </row>
    <row r="48">
      <c r="A48" s="4" t="inlineStr">
        <is>
          <t>2026-04-16</t>
        </is>
      </c>
      <c r="B48" s="4" t="inlineStr">
        <is>
          <t>Jueves</t>
        </is>
      </c>
      <c r="C48" s="4" t="inlineStr">
        <is>
          <t>17:15</t>
        </is>
      </c>
      <c r="D48" s="4" t="inlineStr">
        <is>
          <t>Sí</t>
        </is>
      </c>
      <c r="E48" s="4" t="n"/>
      <c r="F48" s="4" t="n"/>
      <c r="G48" s="4" t="n"/>
      <c r="H48" s="4" t="n"/>
      <c r="I48" s="4" t="n"/>
    </row>
    <row r="49">
      <c r="A49" s="6" t="inlineStr">
        <is>
          <t>2026-04-17</t>
        </is>
      </c>
      <c r="B49" s="6" t="inlineStr">
        <is>
          <t>Viernes</t>
        </is>
      </c>
      <c r="C49" s="6" t="inlineStr">
        <is>
          <t>09:00</t>
        </is>
      </c>
      <c r="D49" s="6" t="inlineStr">
        <is>
          <t>Sí</t>
        </is>
      </c>
      <c r="E49" s="6" t="n"/>
      <c r="F49" s="6" t="n"/>
      <c r="G49" s="6" t="n"/>
      <c r="H49" s="6" t="n"/>
      <c r="I49" s="6" t="n"/>
    </row>
    <row r="50">
      <c r="A50" s="4" t="inlineStr">
        <is>
          <t>2026-04-17</t>
        </is>
      </c>
      <c r="B50" s="4" t="inlineStr">
        <is>
          <t>Viernes</t>
        </is>
      </c>
      <c r="C50" s="4" t="inlineStr">
        <is>
          <t>09:45</t>
        </is>
      </c>
      <c r="D50" s="4" t="inlineStr">
        <is>
          <t>Sí</t>
        </is>
      </c>
      <c r="E50" s="4" t="n"/>
      <c r="F50" s="4" t="n"/>
      <c r="G50" s="4" t="n"/>
      <c r="H50" s="4" t="n"/>
      <c r="I50" s="4" t="n"/>
    </row>
    <row r="51">
      <c r="A51" s="6" t="inlineStr">
        <is>
          <t>2026-04-17</t>
        </is>
      </c>
      <c r="B51" s="6" t="inlineStr">
        <is>
          <t>Viernes</t>
        </is>
      </c>
      <c r="C51" s="6" t="inlineStr">
        <is>
          <t>10:30</t>
        </is>
      </c>
      <c r="D51" s="6" t="inlineStr">
        <is>
          <t>Sí</t>
        </is>
      </c>
      <c r="E51" s="6" t="n"/>
      <c r="F51" s="6" t="n"/>
      <c r="G51" s="6" t="n"/>
      <c r="H51" s="6" t="n"/>
      <c r="I51" s="6" t="n"/>
    </row>
    <row r="52">
      <c r="A52" s="4" t="inlineStr">
        <is>
          <t>2026-04-17</t>
        </is>
      </c>
      <c r="B52" s="4" t="inlineStr">
        <is>
          <t>Viernes</t>
        </is>
      </c>
      <c r="C52" s="4" t="inlineStr">
        <is>
          <t>11:15</t>
        </is>
      </c>
      <c r="D52" s="4" t="inlineStr">
        <is>
          <t>Sí</t>
        </is>
      </c>
      <c r="E52" s="4" t="n"/>
      <c r="F52" s="4" t="n"/>
      <c r="G52" s="4" t="n"/>
      <c r="H52" s="4" t="n"/>
      <c r="I52" s="4" t="n"/>
    </row>
    <row r="53">
      <c r="A53" s="6" t="inlineStr">
        <is>
          <t>2026-04-17</t>
        </is>
      </c>
      <c r="B53" s="6" t="inlineStr">
        <is>
          <t>Viernes</t>
        </is>
      </c>
      <c r="C53" s="6" t="inlineStr">
        <is>
          <t>12:00</t>
        </is>
      </c>
      <c r="D53" s="6" t="inlineStr">
        <is>
          <t>Sí</t>
        </is>
      </c>
      <c r="E53" s="6" t="n"/>
      <c r="F53" s="6" t="n"/>
      <c r="G53" s="6" t="n"/>
      <c r="H53" s="6" t="n"/>
      <c r="I53" s="6" t="n"/>
    </row>
    <row r="54">
      <c r="A54" s="4" t="inlineStr">
        <is>
          <t>2026-04-17</t>
        </is>
      </c>
      <c r="B54" s="4" t="inlineStr">
        <is>
          <t>Viernes</t>
        </is>
      </c>
      <c r="C54" s="4" t="inlineStr">
        <is>
          <t>15:00</t>
        </is>
      </c>
      <c r="D54" s="4" t="inlineStr">
        <is>
          <t>Sí</t>
        </is>
      </c>
      <c r="E54" s="4" t="n"/>
      <c r="F54" s="4" t="n"/>
      <c r="G54" s="4" t="n"/>
      <c r="H54" s="4" t="n"/>
      <c r="I54" s="4" t="n"/>
    </row>
    <row r="55">
      <c r="A55" s="6" t="inlineStr">
        <is>
          <t>2026-04-17</t>
        </is>
      </c>
      <c r="B55" s="6" t="inlineStr">
        <is>
          <t>Viernes</t>
        </is>
      </c>
      <c r="C55" s="6" t="inlineStr">
        <is>
          <t>15:45</t>
        </is>
      </c>
      <c r="D55" s="6" t="inlineStr">
        <is>
          <t>Sí</t>
        </is>
      </c>
      <c r="E55" s="6" t="n"/>
      <c r="F55" s="6" t="n"/>
      <c r="G55" s="6" t="n"/>
      <c r="H55" s="6" t="n"/>
      <c r="I55" s="6" t="n"/>
    </row>
    <row r="56">
      <c r="A56" s="4" t="inlineStr">
        <is>
          <t>2026-04-17</t>
        </is>
      </c>
      <c r="B56" s="4" t="inlineStr">
        <is>
          <t>Viernes</t>
        </is>
      </c>
      <c r="C56" s="4" t="inlineStr">
        <is>
          <t>16:30</t>
        </is>
      </c>
      <c r="D56" s="4" t="inlineStr">
        <is>
          <t>Sí</t>
        </is>
      </c>
      <c r="E56" s="4" t="n"/>
      <c r="F56" s="4" t="n"/>
      <c r="G56" s="4" t="n"/>
      <c r="H56" s="4" t="n"/>
      <c r="I56" s="4" t="n"/>
    </row>
    <row r="57">
      <c r="A57" s="6" t="inlineStr">
        <is>
          <t>2026-04-17</t>
        </is>
      </c>
      <c r="B57" s="6" t="inlineStr">
        <is>
          <t>Viernes</t>
        </is>
      </c>
      <c r="C57" s="6" t="inlineStr">
        <is>
          <t>17:15</t>
        </is>
      </c>
      <c r="D57" s="6" t="inlineStr">
        <is>
          <t>Sí</t>
        </is>
      </c>
      <c r="E57" s="6" t="n"/>
      <c r="F57" s="6" t="n"/>
      <c r="G57" s="6" t="n"/>
      <c r="H57" s="6" t="n"/>
      <c r="I57" s="6" t="n"/>
    </row>
    <row r="58">
      <c r="A58" s="4" t="inlineStr">
        <is>
          <t>2026-04-20</t>
        </is>
      </c>
      <c r="B58" s="4" t="inlineStr">
        <is>
          <t>Lunes</t>
        </is>
      </c>
      <c r="C58" s="4" t="inlineStr">
        <is>
          <t>09:00</t>
        </is>
      </c>
      <c r="D58" s="4" t="inlineStr">
        <is>
          <t>Sí</t>
        </is>
      </c>
      <c r="E58" s="4" t="n"/>
      <c r="F58" s="4" t="n"/>
      <c r="G58" s="4" t="n"/>
      <c r="H58" s="4" t="n"/>
      <c r="I58" s="4" t="n"/>
    </row>
    <row r="59">
      <c r="A59" s="6" t="inlineStr">
        <is>
          <t>2026-04-20</t>
        </is>
      </c>
      <c r="B59" s="6" t="inlineStr">
        <is>
          <t>Lunes</t>
        </is>
      </c>
      <c r="C59" s="6" t="inlineStr">
        <is>
          <t>09:45</t>
        </is>
      </c>
      <c r="D59" s="6" t="inlineStr">
        <is>
          <t>Sí</t>
        </is>
      </c>
      <c r="E59" s="6" t="n"/>
      <c r="F59" s="6" t="n"/>
      <c r="G59" s="6" t="n"/>
      <c r="H59" s="6" t="n"/>
      <c r="I59" s="6" t="n"/>
    </row>
    <row r="60">
      <c r="A60" s="4" t="inlineStr">
        <is>
          <t>2026-04-20</t>
        </is>
      </c>
      <c r="B60" s="4" t="inlineStr">
        <is>
          <t>Lunes</t>
        </is>
      </c>
      <c r="C60" s="4" t="inlineStr">
        <is>
          <t>10:30</t>
        </is>
      </c>
      <c r="D60" s="4" t="inlineStr">
        <is>
          <t>Sí</t>
        </is>
      </c>
      <c r="E60" s="4" t="n"/>
      <c r="F60" s="4" t="n"/>
      <c r="G60" s="4" t="n"/>
      <c r="H60" s="4" t="n"/>
      <c r="I60" s="4" t="n"/>
    </row>
    <row r="61">
      <c r="A61" s="6" t="inlineStr">
        <is>
          <t>2026-04-20</t>
        </is>
      </c>
      <c r="B61" s="6" t="inlineStr">
        <is>
          <t>Lunes</t>
        </is>
      </c>
      <c r="C61" s="6" t="inlineStr">
        <is>
          <t>11:15</t>
        </is>
      </c>
      <c r="D61" s="6" t="inlineStr">
        <is>
          <t>Sí</t>
        </is>
      </c>
      <c r="E61" s="6" t="n"/>
      <c r="F61" s="6" t="n"/>
      <c r="G61" s="6" t="n"/>
      <c r="H61" s="6" t="n"/>
      <c r="I61" s="6" t="n"/>
    </row>
    <row r="62">
      <c r="A62" s="4" t="inlineStr">
        <is>
          <t>2026-04-20</t>
        </is>
      </c>
      <c r="B62" s="4" t="inlineStr">
        <is>
          <t>Lunes</t>
        </is>
      </c>
      <c r="C62" s="4" t="inlineStr">
        <is>
          <t>12:00</t>
        </is>
      </c>
      <c r="D62" s="4" t="inlineStr">
        <is>
          <t>Sí</t>
        </is>
      </c>
      <c r="E62" s="4" t="n"/>
      <c r="F62" s="4" t="n"/>
      <c r="G62" s="4" t="n"/>
      <c r="H62" s="4" t="n"/>
      <c r="I62" s="4" t="n"/>
    </row>
    <row r="63">
      <c r="A63" s="6" t="inlineStr">
        <is>
          <t>2026-04-20</t>
        </is>
      </c>
      <c r="B63" s="6" t="inlineStr">
        <is>
          <t>Lunes</t>
        </is>
      </c>
      <c r="C63" s="6" t="inlineStr">
        <is>
          <t>15:00</t>
        </is>
      </c>
      <c r="D63" s="6" t="inlineStr">
        <is>
          <t>Sí</t>
        </is>
      </c>
      <c r="E63" s="6" t="n"/>
      <c r="F63" s="6" t="n"/>
      <c r="G63" s="6" t="n"/>
      <c r="H63" s="6" t="n"/>
      <c r="I63" s="6" t="n"/>
    </row>
    <row r="64">
      <c r="A64" s="4" t="inlineStr">
        <is>
          <t>2026-04-20</t>
        </is>
      </c>
      <c r="B64" s="4" t="inlineStr">
        <is>
          <t>Lunes</t>
        </is>
      </c>
      <c r="C64" s="4" t="inlineStr">
        <is>
          <t>15:45</t>
        </is>
      </c>
      <c r="D64" s="4" t="inlineStr">
        <is>
          <t>Sí</t>
        </is>
      </c>
      <c r="E64" s="4" t="n"/>
      <c r="F64" s="4" t="n"/>
      <c r="G64" s="4" t="n"/>
      <c r="H64" s="4" t="n"/>
      <c r="I64" s="4" t="n"/>
    </row>
    <row r="65">
      <c r="A65" s="6" t="inlineStr">
        <is>
          <t>2026-04-20</t>
        </is>
      </c>
      <c r="B65" s="6" t="inlineStr">
        <is>
          <t>Lunes</t>
        </is>
      </c>
      <c r="C65" s="6" t="inlineStr">
        <is>
          <t>16:30</t>
        </is>
      </c>
      <c r="D65" s="6" t="inlineStr">
        <is>
          <t>Sí</t>
        </is>
      </c>
      <c r="E65" s="6" t="n"/>
      <c r="F65" s="6" t="n"/>
      <c r="G65" s="6" t="n"/>
      <c r="H65" s="6" t="n"/>
      <c r="I65" s="6" t="n"/>
    </row>
    <row r="66">
      <c r="A66" s="4" t="inlineStr">
        <is>
          <t>2026-04-20</t>
        </is>
      </c>
      <c r="B66" s="4" t="inlineStr">
        <is>
          <t>Lunes</t>
        </is>
      </c>
      <c r="C66" s="4" t="inlineStr">
        <is>
          <t>17:15</t>
        </is>
      </c>
      <c r="D66" s="4" t="inlineStr">
        <is>
          <t>Sí</t>
        </is>
      </c>
      <c r="E66" s="4" t="n"/>
      <c r="F66" s="4" t="n"/>
      <c r="G66" s="4" t="n"/>
      <c r="H66" s="4" t="n"/>
      <c r="I66" s="4" t="n"/>
    </row>
    <row r="67">
      <c r="A67" s="6" t="inlineStr">
        <is>
          <t>2026-04-21</t>
        </is>
      </c>
      <c r="B67" s="6" t="inlineStr">
        <is>
          <t>Martes</t>
        </is>
      </c>
      <c r="C67" s="6" t="inlineStr">
        <is>
          <t>09:00</t>
        </is>
      </c>
      <c r="D67" s="6" t="inlineStr">
        <is>
          <t>Sí</t>
        </is>
      </c>
      <c r="E67" s="6" t="n"/>
      <c r="F67" s="6" t="n"/>
      <c r="G67" s="6" t="n"/>
      <c r="H67" s="6" t="n"/>
      <c r="I67" s="6" t="n"/>
    </row>
    <row r="68">
      <c r="A68" s="4" t="inlineStr">
        <is>
          <t>2026-04-21</t>
        </is>
      </c>
      <c r="B68" s="4" t="inlineStr">
        <is>
          <t>Martes</t>
        </is>
      </c>
      <c r="C68" s="4" t="inlineStr">
        <is>
          <t>09:45</t>
        </is>
      </c>
      <c r="D68" s="4" t="inlineStr">
        <is>
          <t>Sí</t>
        </is>
      </c>
      <c r="E68" s="4" t="n"/>
      <c r="F68" s="4" t="n"/>
      <c r="G68" s="4" t="n"/>
      <c r="H68" s="4" t="n"/>
      <c r="I68" s="4" t="n"/>
    </row>
    <row r="69">
      <c r="A69" s="6" t="inlineStr">
        <is>
          <t>2026-04-21</t>
        </is>
      </c>
      <c r="B69" s="6" t="inlineStr">
        <is>
          <t>Martes</t>
        </is>
      </c>
      <c r="C69" s="6" t="inlineStr">
        <is>
          <t>10:30</t>
        </is>
      </c>
      <c r="D69" s="6" t="inlineStr">
        <is>
          <t>Sí</t>
        </is>
      </c>
      <c r="E69" s="6" t="n"/>
      <c r="F69" s="6" t="n"/>
      <c r="G69" s="6" t="n"/>
      <c r="H69" s="6" t="n"/>
      <c r="I69" s="6" t="n"/>
    </row>
    <row r="70">
      <c r="A70" s="4" t="inlineStr">
        <is>
          <t>2026-04-21</t>
        </is>
      </c>
      <c r="B70" s="4" t="inlineStr">
        <is>
          <t>Martes</t>
        </is>
      </c>
      <c r="C70" s="4" t="inlineStr">
        <is>
          <t>11:15</t>
        </is>
      </c>
      <c r="D70" s="4" t="inlineStr">
        <is>
          <t>Sí</t>
        </is>
      </c>
      <c r="E70" s="4" t="n"/>
      <c r="F70" s="4" t="n"/>
      <c r="G70" s="4" t="n"/>
      <c r="H70" s="4" t="n"/>
      <c r="I70" s="4" t="n"/>
    </row>
    <row r="71">
      <c r="A71" s="6" t="inlineStr">
        <is>
          <t>2026-04-21</t>
        </is>
      </c>
      <c r="B71" s="6" t="inlineStr">
        <is>
          <t>Martes</t>
        </is>
      </c>
      <c r="C71" s="6" t="inlineStr">
        <is>
          <t>12:00</t>
        </is>
      </c>
      <c r="D71" s="6" t="inlineStr">
        <is>
          <t>Sí</t>
        </is>
      </c>
      <c r="E71" s="6" t="n"/>
      <c r="F71" s="6" t="n"/>
      <c r="G71" s="6" t="n"/>
      <c r="H71" s="6" t="n"/>
      <c r="I71" s="6" t="n"/>
    </row>
    <row r="72">
      <c r="A72" s="4" t="inlineStr">
        <is>
          <t>2026-04-21</t>
        </is>
      </c>
      <c r="B72" s="4" t="inlineStr">
        <is>
          <t>Martes</t>
        </is>
      </c>
      <c r="C72" s="4" t="inlineStr">
        <is>
          <t>15:00</t>
        </is>
      </c>
      <c r="D72" s="4" t="inlineStr">
        <is>
          <t>Sí</t>
        </is>
      </c>
      <c r="E72" s="4" t="n"/>
      <c r="F72" s="4" t="n"/>
      <c r="G72" s="4" t="n"/>
      <c r="H72" s="4" t="n"/>
      <c r="I72" s="4" t="n"/>
    </row>
    <row r="73">
      <c r="A73" s="6" t="inlineStr">
        <is>
          <t>2026-04-21</t>
        </is>
      </c>
      <c r="B73" s="6" t="inlineStr">
        <is>
          <t>Martes</t>
        </is>
      </c>
      <c r="C73" s="6" t="inlineStr">
        <is>
          <t>15:45</t>
        </is>
      </c>
      <c r="D73" s="6" t="inlineStr">
        <is>
          <t>Sí</t>
        </is>
      </c>
      <c r="E73" s="6" t="n"/>
      <c r="F73" s="6" t="n"/>
      <c r="G73" s="6" t="n"/>
      <c r="H73" s="6" t="n"/>
      <c r="I73" s="6" t="n"/>
    </row>
    <row r="74">
      <c r="A74" s="4" t="inlineStr">
        <is>
          <t>2026-04-21</t>
        </is>
      </c>
      <c r="B74" s="4" t="inlineStr">
        <is>
          <t>Martes</t>
        </is>
      </c>
      <c r="C74" s="4" t="inlineStr">
        <is>
          <t>16:30</t>
        </is>
      </c>
      <c r="D74" s="4" t="inlineStr">
        <is>
          <t>Sí</t>
        </is>
      </c>
      <c r="E74" s="4" t="n"/>
      <c r="F74" s="4" t="n"/>
      <c r="G74" s="4" t="n"/>
      <c r="H74" s="4" t="n"/>
      <c r="I74" s="4" t="n"/>
    </row>
    <row r="75">
      <c r="A75" s="6" t="inlineStr">
        <is>
          <t>2026-04-21</t>
        </is>
      </c>
      <c r="B75" s="6" t="inlineStr">
        <is>
          <t>Martes</t>
        </is>
      </c>
      <c r="C75" s="6" t="inlineStr">
        <is>
          <t>17:15</t>
        </is>
      </c>
      <c r="D75" s="6" t="inlineStr">
        <is>
          <t>Sí</t>
        </is>
      </c>
      <c r="E75" s="6" t="n"/>
      <c r="F75" s="6" t="n"/>
      <c r="G75" s="6" t="n"/>
      <c r="H75" s="6" t="n"/>
      <c r="I75" s="6" t="n"/>
    </row>
    <row r="76">
      <c r="A76" s="4" t="inlineStr">
        <is>
          <t>2026-04-22</t>
        </is>
      </c>
      <c r="B76" s="4" t="inlineStr">
        <is>
          <t>Miércoles</t>
        </is>
      </c>
      <c r="C76" s="4" t="inlineStr">
        <is>
          <t>09:00</t>
        </is>
      </c>
      <c r="D76" s="4" t="inlineStr">
        <is>
          <t>Sí</t>
        </is>
      </c>
      <c r="E76" s="4" t="n"/>
      <c r="F76" s="4" t="n"/>
      <c r="G76" s="4" t="n"/>
      <c r="H76" s="4" t="n"/>
      <c r="I76" s="4" t="n"/>
    </row>
    <row r="77">
      <c r="A77" s="6" t="inlineStr">
        <is>
          <t>2026-04-22</t>
        </is>
      </c>
      <c r="B77" s="6" t="inlineStr">
        <is>
          <t>Miércoles</t>
        </is>
      </c>
      <c r="C77" s="6" t="inlineStr">
        <is>
          <t>09:45</t>
        </is>
      </c>
      <c r="D77" s="6" t="inlineStr">
        <is>
          <t>Sí</t>
        </is>
      </c>
      <c r="E77" s="6" t="n"/>
      <c r="F77" s="6" t="n"/>
      <c r="G77" s="6" t="n"/>
      <c r="H77" s="6" t="n"/>
      <c r="I77" s="6" t="n"/>
    </row>
    <row r="78">
      <c r="A78" s="4" t="inlineStr">
        <is>
          <t>2026-04-22</t>
        </is>
      </c>
      <c r="B78" s="4" t="inlineStr">
        <is>
          <t>Miércoles</t>
        </is>
      </c>
      <c r="C78" s="4" t="inlineStr">
        <is>
          <t>10:30</t>
        </is>
      </c>
      <c r="D78" s="4" t="inlineStr">
        <is>
          <t>Sí</t>
        </is>
      </c>
      <c r="E78" s="4" t="n"/>
      <c r="F78" s="4" t="n"/>
      <c r="G78" s="4" t="n"/>
      <c r="H78" s="4" t="n"/>
      <c r="I78" s="4" t="n"/>
    </row>
    <row r="79">
      <c r="A79" s="6" t="inlineStr">
        <is>
          <t>2026-04-22</t>
        </is>
      </c>
      <c r="B79" s="6" t="inlineStr">
        <is>
          <t>Miércoles</t>
        </is>
      </c>
      <c r="C79" s="6" t="inlineStr">
        <is>
          <t>11:15</t>
        </is>
      </c>
      <c r="D79" s="6" t="inlineStr">
        <is>
          <t>Sí</t>
        </is>
      </c>
      <c r="E79" s="6" t="n"/>
      <c r="F79" s="6" t="n"/>
      <c r="G79" s="6" t="n"/>
      <c r="H79" s="6" t="n"/>
      <c r="I79" s="6" t="n"/>
    </row>
    <row r="80">
      <c r="A80" s="4" t="inlineStr">
        <is>
          <t>2026-04-22</t>
        </is>
      </c>
      <c r="B80" s="4" t="inlineStr">
        <is>
          <t>Miércoles</t>
        </is>
      </c>
      <c r="C80" s="4" t="inlineStr">
        <is>
          <t>12:00</t>
        </is>
      </c>
      <c r="D80" s="4" t="inlineStr">
        <is>
          <t>Sí</t>
        </is>
      </c>
      <c r="E80" s="4" t="n"/>
      <c r="F80" s="4" t="n"/>
      <c r="G80" s="4" t="n"/>
      <c r="H80" s="4" t="n"/>
      <c r="I80" s="4" t="n"/>
    </row>
    <row r="81">
      <c r="A81" s="6" t="inlineStr">
        <is>
          <t>2026-04-22</t>
        </is>
      </c>
      <c r="B81" s="6" t="inlineStr">
        <is>
          <t>Miércoles</t>
        </is>
      </c>
      <c r="C81" s="6" t="inlineStr">
        <is>
          <t>15:00</t>
        </is>
      </c>
      <c r="D81" s="6" t="inlineStr">
        <is>
          <t>Sí</t>
        </is>
      </c>
      <c r="E81" s="6" t="n"/>
      <c r="F81" s="6" t="n"/>
      <c r="G81" s="6" t="n"/>
      <c r="H81" s="6" t="n"/>
      <c r="I81" s="6" t="n"/>
    </row>
    <row r="82">
      <c r="A82" s="4" t="inlineStr">
        <is>
          <t>2026-04-22</t>
        </is>
      </c>
      <c r="B82" s="4" t="inlineStr">
        <is>
          <t>Miércoles</t>
        </is>
      </c>
      <c r="C82" s="4" t="inlineStr">
        <is>
          <t>15:45</t>
        </is>
      </c>
      <c r="D82" s="4" t="inlineStr">
        <is>
          <t>Sí</t>
        </is>
      </c>
      <c r="E82" s="4" t="n"/>
      <c r="F82" s="4" t="n"/>
      <c r="G82" s="4" t="n"/>
      <c r="H82" s="4" t="n"/>
      <c r="I82" s="4" t="n"/>
    </row>
    <row r="83">
      <c r="A83" s="6" t="inlineStr">
        <is>
          <t>2026-04-22</t>
        </is>
      </c>
      <c r="B83" s="6" t="inlineStr">
        <is>
          <t>Miércoles</t>
        </is>
      </c>
      <c r="C83" s="6" t="inlineStr">
        <is>
          <t>16:30</t>
        </is>
      </c>
      <c r="D83" s="6" t="inlineStr">
        <is>
          <t>Sí</t>
        </is>
      </c>
      <c r="E83" s="6" t="n"/>
      <c r="F83" s="6" t="n"/>
      <c r="G83" s="6" t="n"/>
      <c r="H83" s="6" t="n"/>
      <c r="I83" s="6" t="n"/>
    </row>
    <row r="84">
      <c r="A84" s="4" t="inlineStr">
        <is>
          <t>2026-04-22</t>
        </is>
      </c>
      <c r="B84" s="4" t="inlineStr">
        <is>
          <t>Miércoles</t>
        </is>
      </c>
      <c r="C84" s="4" t="inlineStr">
        <is>
          <t>17:15</t>
        </is>
      </c>
      <c r="D84" s="4" t="inlineStr">
        <is>
          <t>Sí</t>
        </is>
      </c>
      <c r="E84" s="4" t="n"/>
      <c r="F84" s="4" t="n"/>
      <c r="G84" s="4" t="n"/>
      <c r="H84" s="4" t="n"/>
      <c r="I84" s="4" t="n"/>
    </row>
    <row r="85">
      <c r="A85" s="6" t="inlineStr">
        <is>
          <t>2026-04-23</t>
        </is>
      </c>
      <c r="B85" s="6" t="inlineStr">
        <is>
          <t>Jueves</t>
        </is>
      </c>
      <c r="C85" s="6" t="inlineStr">
        <is>
          <t>09:00</t>
        </is>
      </c>
      <c r="D85" s="6" t="inlineStr">
        <is>
          <t>Sí</t>
        </is>
      </c>
      <c r="E85" s="6" t="n"/>
      <c r="F85" s="6" t="n"/>
      <c r="G85" s="6" t="n"/>
      <c r="H85" s="6" t="n"/>
      <c r="I85" s="6" t="n"/>
    </row>
    <row r="86">
      <c r="A86" s="4" t="inlineStr">
        <is>
          <t>2026-04-23</t>
        </is>
      </c>
      <c r="B86" s="4" t="inlineStr">
        <is>
          <t>Jueves</t>
        </is>
      </c>
      <c r="C86" s="4" t="inlineStr">
        <is>
          <t>09:45</t>
        </is>
      </c>
      <c r="D86" s="4" t="inlineStr">
        <is>
          <t>Sí</t>
        </is>
      </c>
      <c r="E86" s="4" t="n"/>
      <c r="F86" s="4" t="n"/>
      <c r="G86" s="4" t="n"/>
      <c r="H86" s="4" t="n"/>
      <c r="I86" s="4" t="n"/>
    </row>
    <row r="87">
      <c r="A87" s="6" t="inlineStr">
        <is>
          <t>2026-04-23</t>
        </is>
      </c>
      <c r="B87" s="6" t="inlineStr">
        <is>
          <t>Jueves</t>
        </is>
      </c>
      <c r="C87" s="6" t="inlineStr">
        <is>
          <t>10:30</t>
        </is>
      </c>
      <c r="D87" s="6" t="inlineStr">
        <is>
          <t>Sí</t>
        </is>
      </c>
      <c r="E87" s="6" t="n"/>
      <c r="F87" s="6" t="n"/>
      <c r="G87" s="6" t="n"/>
      <c r="H87" s="6" t="n"/>
      <c r="I87" s="6" t="n"/>
    </row>
    <row r="88">
      <c r="A88" s="4" t="inlineStr">
        <is>
          <t>2026-04-23</t>
        </is>
      </c>
      <c r="B88" s="4" t="inlineStr">
        <is>
          <t>Jueves</t>
        </is>
      </c>
      <c r="C88" s="4" t="inlineStr">
        <is>
          <t>11:15</t>
        </is>
      </c>
      <c r="D88" s="4" t="inlineStr">
        <is>
          <t>Sí</t>
        </is>
      </c>
      <c r="E88" s="4" t="n"/>
      <c r="F88" s="4" t="n"/>
      <c r="G88" s="4" t="n"/>
      <c r="H88" s="4" t="n"/>
      <c r="I88" s="4" t="n"/>
    </row>
    <row r="89">
      <c r="A89" s="6" t="inlineStr">
        <is>
          <t>2026-04-23</t>
        </is>
      </c>
      <c r="B89" s="6" t="inlineStr">
        <is>
          <t>Jueves</t>
        </is>
      </c>
      <c r="C89" s="6" t="inlineStr">
        <is>
          <t>12:00</t>
        </is>
      </c>
      <c r="D89" s="6" t="inlineStr">
        <is>
          <t>Sí</t>
        </is>
      </c>
      <c r="E89" s="6" t="n"/>
      <c r="F89" s="6" t="n"/>
      <c r="G89" s="6" t="n"/>
      <c r="H89" s="6" t="n"/>
      <c r="I89" s="6" t="n"/>
    </row>
    <row r="90">
      <c r="A90" s="4" t="inlineStr">
        <is>
          <t>2026-04-23</t>
        </is>
      </c>
      <c r="B90" s="4" t="inlineStr">
        <is>
          <t>Jueves</t>
        </is>
      </c>
      <c r="C90" s="4" t="inlineStr">
        <is>
          <t>15:00</t>
        </is>
      </c>
      <c r="D90" s="4" t="inlineStr">
        <is>
          <t>Sí</t>
        </is>
      </c>
      <c r="E90" s="4" t="n"/>
      <c r="F90" s="4" t="n"/>
      <c r="G90" s="4" t="n"/>
      <c r="H90" s="4" t="n"/>
      <c r="I90" s="4" t="n"/>
    </row>
    <row r="91">
      <c r="A91" s="6" t="inlineStr">
        <is>
          <t>2026-04-23</t>
        </is>
      </c>
      <c r="B91" s="6" t="inlineStr">
        <is>
          <t>Jueves</t>
        </is>
      </c>
      <c r="C91" s="6" t="inlineStr">
        <is>
          <t>15:45</t>
        </is>
      </c>
      <c r="D91" s="6" t="inlineStr">
        <is>
          <t>Sí</t>
        </is>
      </c>
      <c r="E91" s="6" t="n"/>
      <c r="F91" s="6" t="n"/>
      <c r="G91" s="6" t="n"/>
      <c r="H91" s="6" t="n"/>
      <c r="I91" s="6" t="n"/>
    </row>
    <row r="92">
      <c r="A92" s="4" t="inlineStr">
        <is>
          <t>2026-04-23</t>
        </is>
      </c>
      <c r="B92" s="4" t="inlineStr">
        <is>
          <t>Jueves</t>
        </is>
      </c>
      <c r="C92" s="4" t="inlineStr">
        <is>
          <t>16:30</t>
        </is>
      </c>
      <c r="D92" s="4" t="inlineStr">
        <is>
          <t>Sí</t>
        </is>
      </c>
      <c r="E92" s="4" t="n"/>
      <c r="F92" s="4" t="n"/>
      <c r="G92" s="4" t="n"/>
      <c r="H92" s="4" t="n"/>
      <c r="I92" s="4" t="n"/>
    </row>
    <row r="93">
      <c r="A93" s="6" t="inlineStr">
        <is>
          <t>2026-04-23</t>
        </is>
      </c>
      <c r="B93" s="6" t="inlineStr">
        <is>
          <t>Jueves</t>
        </is>
      </c>
      <c r="C93" s="6" t="inlineStr">
        <is>
          <t>17:15</t>
        </is>
      </c>
      <c r="D93" s="6" t="inlineStr">
        <is>
          <t>Sí</t>
        </is>
      </c>
      <c r="E93" s="6" t="n"/>
      <c r="F93" s="6" t="n"/>
      <c r="G93" s="6" t="n"/>
      <c r="H93" s="6" t="n"/>
      <c r="I93" s="6" t="n"/>
    </row>
    <row r="94">
      <c r="A94" s="4" t="inlineStr">
        <is>
          <t>2026-04-24</t>
        </is>
      </c>
      <c r="B94" s="4" t="inlineStr">
        <is>
          <t>Viernes</t>
        </is>
      </c>
      <c r="C94" s="4" t="inlineStr">
        <is>
          <t>09:00</t>
        </is>
      </c>
      <c r="D94" s="4" t="inlineStr">
        <is>
          <t>Sí</t>
        </is>
      </c>
      <c r="E94" s="4" t="n"/>
      <c r="F94" s="4" t="n"/>
      <c r="G94" s="4" t="n"/>
      <c r="H94" s="4" t="n"/>
      <c r="I94" s="4" t="n"/>
    </row>
    <row r="95">
      <c r="A95" s="6" t="inlineStr">
        <is>
          <t>2026-04-24</t>
        </is>
      </c>
      <c r="B95" s="6" t="inlineStr">
        <is>
          <t>Viernes</t>
        </is>
      </c>
      <c r="C95" s="6" t="inlineStr">
        <is>
          <t>09:45</t>
        </is>
      </c>
      <c r="D95" s="6" t="inlineStr">
        <is>
          <t>Sí</t>
        </is>
      </c>
      <c r="E95" s="6" t="n"/>
      <c r="F95" s="6" t="n"/>
      <c r="G95" s="6" t="n"/>
      <c r="H95" s="6" t="n"/>
      <c r="I95" s="6" t="n"/>
    </row>
    <row r="96">
      <c r="A96" s="4" t="inlineStr">
        <is>
          <t>2026-04-24</t>
        </is>
      </c>
      <c r="B96" s="4" t="inlineStr">
        <is>
          <t>Viernes</t>
        </is>
      </c>
      <c r="C96" s="4" t="inlineStr">
        <is>
          <t>10:30</t>
        </is>
      </c>
      <c r="D96" s="4" t="inlineStr">
        <is>
          <t>Sí</t>
        </is>
      </c>
      <c r="E96" s="4" t="n"/>
      <c r="F96" s="4" t="n"/>
      <c r="G96" s="4" t="n"/>
      <c r="H96" s="4" t="n"/>
      <c r="I96" s="4" t="n"/>
    </row>
    <row r="97">
      <c r="A97" s="6" t="inlineStr">
        <is>
          <t>2026-04-24</t>
        </is>
      </c>
      <c r="B97" s="6" t="inlineStr">
        <is>
          <t>Viernes</t>
        </is>
      </c>
      <c r="C97" s="6" t="inlineStr">
        <is>
          <t>11:15</t>
        </is>
      </c>
      <c r="D97" s="6" t="inlineStr">
        <is>
          <t>Sí</t>
        </is>
      </c>
      <c r="E97" s="6" t="n"/>
      <c r="F97" s="6" t="n"/>
      <c r="G97" s="6" t="n"/>
      <c r="H97" s="6" t="n"/>
      <c r="I97" s="6" t="n"/>
    </row>
    <row r="98">
      <c r="A98" s="4" t="inlineStr">
        <is>
          <t>2026-04-24</t>
        </is>
      </c>
      <c r="B98" s="4" t="inlineStr">
        <is>
          <t>Viernes</t>
        </is>
      </c>
      <c r="C98" s="4" t="inlineStr">
        <is>
          <t>12:00</t>
        </is>
      </c>
      <c r="D98" s="4" t="inlineStr">
        <is>
          <t>Sí</t>
        </is>
      </c>
      <c r="E98" s="4" t="n"/>
      <c r="F98" s="4" t="n"/>
      <c r="G98" s="4" t="n"/>
      <c r="H98" s="4" t="n"/>
      <c r="I98" s="4" t="n"/>
    </row>
    <row r="99">
      <c r="A99" s="6" t="inlineStr">
        <is>
          <t>2026-04-24</t>
        </is>
      </c>
      <c r="B99" s="6" t="inlineStr">
        <is>
          <t>Viernes</t>
        </is>
      </c>
      <c r="C99" s="6" t="inlineStr">
        <is>
          <t>15:00</t>
        </is>
      </c>
      <c r="D99" s="6" t="inlineStr">
        <is>
          <t>Sí</t>
        </is>
      </c>
      <c r="E99" s="6" t="n"/>
      <c r="F99" s="6" t="n"/>
      <c r="G99" s="6" t="n"/>
      <c r="H99" s="6" t="n"/>
      <c r="I99" s="6" t="n"/>
    </row>
    <row r="100">
      <c r="A100" s="4" t="inlineStr">
        <is>
          <t>2026-04-24</t>
        </is>
      </c>
      <c r="B100" s="4" t="inlineStr">
        <is>
          <t>Viernes</t>
        </is>
      </c>
      <c r="C100" s="4" t="inlineStr">
        <is>
          <t>15:45</t>
        </is>
      </c>
      <c r="D100" s="4" t="inlineStr">
        <is>
          <t>Sí</t>
        </is>
      </c>
      <c r="E100" s="4" t="n"/>
      <c r="F100" s="4" t="n"/>
      <c r="G100" s="4" t="n"/>
      <c r="H100" s="4" t="n"/>
      <c r="I100" s="4" t="n"/>
    </row>
    <row r="101">
      <c r="A101" s="6" t="inlineStr">
        <is>
          <t>2026-04-24</t>
        </is>
      </c>
      <c r="B101" s="6" t="inlineStr">
        <is>
          <t>Viernes</t>
        </is>
      </c>
      <c r="C101" s="6" t="inlineStr">
        <is>
          <t>16:30</t>
        </is>
      </c>
      <c r="D101" s="6" t="inlineStr">
        <is>
          <t>Sí</t>
        </is>
      </c>
      <c r="E101" s="6" t="n"/>
      <c r="F101" s="6" t="n"/>
      <c r="G101" s="6" t="n"/>
      <c r="H101" s="6" t="n"/>
      <c r="I101" s="6" t="n"/>
    </row>
    <row r="102">
      <c r="A102" s="4" t="inlineStr">
        <is>
          <t>2026-04-24</t>
        </is>
      </c>
      <c r="B102" s="4" t="inlineStr">
        <is>
          <t>Viernes</t>
        </is>
      </c>
      <c r="C102" s="4" t="inlineStr">
        <is>
          <t>17:15</t>
        </is>
      </c>
      <c r="D102" s="4" t="inlineStr">
        <is>
          <t>Sí</t>
        </is>
      </c>
      <c r="E102" s="4" t="n"/>
      <c r="F102" s="4" t="n"/>
      <c r="G102" s="4" t="n"/>
      <c r="H102" s="4" t="n"/>
      <c r="I102" s="4" t="n"/>
    </row>
    <row r="103">
      <c r="A103" s="6" t="inlineStr">
        <is>
          <t>2026-04-27</t>
        </is>
      </c>
      <c r="B103" s="6" t="inlineStr">
        <is>
          <t>Lunes</t>
        </is>
      </c>
      <c r="C103" s="6" t="inlineStr">
        <is>
          <t>09:00</t>
        </is>
      </c>
      <c r="D103" s="6" t="inlineStr">
        <is>
          <t>Sí</t>
        </is>
      </c>
      <c r="E103" s="6" t="n"/>
      <c r="F103" s="6" t="n"/>
      <c r="G103" s="6" t="n"/>
      <c r="H103" s="6" t="n"/>
      <c r="I103" s="6" t="n"/>
    </row>
    <row r="104">
      <c r="A104" s="4" t="inlineStr">
        <is>
          <t>2026-04-27</t>
        </is>
      </c>
      <c r="B104" s="4" t="inlineStr">
        <is>
          <t>Lunes</t>
        </is>
      </c>
      <c r="C104" s="4" t="inlineStr">
        <is>
          <t>09:45</t>
        </is>
      </c>
      <c r="D104" s="4" t="inlineStr">
        <is>
          <t>Sí</t>
        </is>
      </c>
      <c r="E104" s="4" t="n"/>
      <c r="F104" s="4" t="n"/>
      <c r="G104" s="4" t="n"/>
      <c r="H104" s="4" t="n"/>
      <c r="I104" s="4" t="n"/>
    </row>
    <row r="105">
      <c r="A105" s="6" t="inlineStr">
        <is>
          <t>2026-04-27</t>
        </is>
      </c>
      <c r="B105" s="6" t="inlineStr">
        <is>
          <t>Lunes</t>
        </is>
      </c>
      <c r="C105" s="6" t="inlineStr">
        <is>
          <t>10:30</t>
        </is>
      </c>
      <c r="D105" s="6" t="inlineStr">
        <is>
          <t>Sí</t>
        </is>
      </c>
      <c r="E105" s="6" t="n"/>
      <c r="F105" s="6" t="n"/>
      <c r="G105" s="6" t="n"/>
      <c r="H105" s="6" t="n"/>
      <c r="I105" s="6" t="n"/>
    </row>
    <row r="106">
      <c r="A106" s="4" t="inlineStr">
        <is>
          <t>2026-04-27</t>
        </is>
      </c>
      <c r="B106" s="4" t="inlineStr">
        <is>
          <t>Lunes</t>
        </is>
      </c>
      <c r="C106" s="4" t="inlineStr">
        <is>
          <t>11:15</t>
        </is>
      </c>
      <c r="D106" s="4" t="inlineStr">
        <is>
          <t>Sí</t>
        </is>
      </c>
      <c r="E106" s="4" t="n"/>
      <c r="F106" s="4" t="n"/>
      <c r="G106" s="4" t="n"/>
      <c r="H106" s="4" t="n"/>
      <c r="I106" s="4" t="n"/>
    </row>
    <row r="107">
      <c r="A107" s="6" t="inlineStr">
        <is>
          <t>2026-04-27</t>
        </is>
      </c>
      <c r="B107" s="6" t="inlineStr">
        <is>
          <t>Lunes</t>
        </is>
      </c>
      <c r="C107" s="6" t="inlineStr">
        <is>
          <t>12:00</t>
        </is>
      </c>
      <c r="D107" s="6" t="inlineStr">
        <is>
          <t>Sí</t>
        </is>
      </c>
      <c r="E107" s="6" t="n"/>
      <c r="F107" s="6" t="n"/>
      <c r="G107" s="6" t="n"/>
      <c r="H107" s="6" t="n"/>
      <c r="I107" s="6" t="n"/>
    </row>
    <row r="108">
      <c r="A108" s="4" t="inlineStr">
        <is>
          <t>2026-04-27</t>
        </is>
      </c>
      <c r="B108" s="4" t="inlineStr">
        <is>
          <t>Lunes</t>
        </is>
      </c>
      <c r="C108" s="4" t="inlineStr">
        <is>
          <t>15:00</t>
        </is>
      </c>
      <c r="D108" s="4" t="inlineStr">
        <is>
          <t>Sí</t>
        </is>
      </c>
      <c r="E108" s="4" t="n"/>
      <c r="F108" s="4" t="n"/>
      <c r="G108" s="4" t="n"/>
      <c r="H108" s="4" t="n"/>
      <c r="I108" s="4" t="n"/>
    </row>
    <row r="109">
      <c r="A109" s="6" t="inlineStr">
        <is>
          <t>2026-04-27</t>
        </is>
      </c>
      <c r="B109" s="6" t="inlineStr">
        <is>
          <t>Lunes</t>
        </is>
      </c>
      <c r="C109" s="6" t="inlineStr">
        <is>
          <t>15:45</t>
        </is>
      </c>
      <c r="D109" s="6" t="inlineStr">
        <is>
          <t>Sí</t>
        </is>
      </c>
      <c r="E109" s="6" t="n"/>
      <c r="F109" s="6" t="n"/>
      <c r="G109" s="6" t="n"/>
      <c r="H109" s="6" t="n"/>
      <c r="I109" s="6" t="n"/>
    </row>
    <row r="110">
      <c r="A110" s="4" t="inlineStr">
        <is>
          <t>2026-04-27</t>
        </is>
      </c>
      <c r="B110" s="4" t="inlineStr">
        <is>
          <t>Lunes</t>
        </is>
      </c>
      <c r="C110" s="4" t="inlineStr">
        <is>
          <t>16:30</t>
        </is>
      </c>
      <c r="D110" s="4" t="inlineStr">
        <is>
          <t>Sí</t>
        </is>
      </c>
      <c r="E110" s="4" t="n"/>
      <c r="F110" s="4" t="n"/>
      <c r="G110" s="4" t="n"/>
      <c r="H110" s="4" t="n"/>
      <c r="I110" s="4" t="n"/>
    </row>
    <row r="111">
      <c r="A111" s="6" t="inlineStr">
        <is>
          <t>2026-04-27</t>
        </is>
      </c>
      <c r="B111" s="6" t="inlineStr">
        <is>
          <t>Lunes</t>
        </is>
      </c>
      <c r="C111" s="6" t="inlineStr">
        <is>
          <t>17:15</t>
        </is>
      </c>
      <c r="D111" s="6" t="inlineStr">
        <is>
          <t>Sí</t>
        </is>
      </c>
      <c r="E111" s="6" t="n"/>
      <c r="F111" s="6" t="n"/>
      <c r="G111" s="6" t="n"/>
      <c r="H111" s="6" t="n"/>
      <c r="I111" s="6" t="n"/>
    </row>
    <row r="112">
      <c r="A112" s="4" t="inlineStr">
        <is>
          <t>2026-04-28</t>
        </is>
      </c>
      <c r="B112" s="4" t="inlineStr">
        <is>
          <t>Martes</t>
        </is>
      </c>
      <c r="C112" s="4" t="inlineStr">
        <is>
          <t>09:00</t>
        </is>
      </c>
      <c r="D112" s="4" t="inlineStr">
        <is>
          <t>Sí</t>
        </is>
      </c>
      <c r="E112" s="4" t="n"/>
      <c r="F112" s="4" t="n"/>
      <c r="G112" s="4" t="n"/>
      <c r="H112" s="4" t="n"/>
      <c r="I112" s="4" t="n"/>
    </row>
    <row r="113">
      <c r="A113" s="6" t="inlineStr">
        <is>
          <t>2026-04-28</t>
        </is>
      </c>
      <c r="B113" s="6" t="inlineStr">
        <is>
          <t>Martes</t>
        </is>
      </c>
      <c r="C113" s="6" t="inlineStr">
        <is>
          <t>09:45</t>
        </is>
      </c>
      <c r="D113" s="6" t="inlineStr">
        <is>
          <t>Sí</t>
        </is>
      </c>
      <c r="E113" s="6" t="n"/>
      <c r="F113" s="6" t="n"/>
      <c r="G113" s="6" t="n"/>
      <c r="H113" s="6" t="n"/>
      <c r="I113" s="6" t="n"/>
    </row>
    <row r="114">
      <c r="A114" s="4" t="inlineStr">
        <is>
          <t>2026-04-28</t>
        </is>
      </c>
      <c r="B114" s="4" t="inlineStr">
        <is>
          <t>Martes</t>
        </is>
      </c>
      <c r="C114" s="4" t="inlineStr">
        <is>
          <t>10:30</t>
        </is>
      </c>
      <c r="D114" s="4" t="inlineStr">
        <is>
          <t>Sí</t>
        </is>
      </c>
      <c r="E114" s="4" t="n"/>
      <c r="F114" s="4" t="n"/>
      <c r="G114" s="4" t="n"/>
      <c r="H114" s="4" t="n"/>
      <c r="I114" s="4" t="n"/>
    </row>
    <row r="115">
      <c r="A115" s="6" t="inlineStr">
        <is>
          <t>2026-04-28</t>
        </is>
      </c>
      <c r="B115" s="6" t="inlineStr">
        <is>
          <t>Martes</t>
        </is>
      </c>
      <c r="C115" s="6" t="inlineStr">
        <is>
          <t>11:15</t>
        </is>
      </c>
      <c r="D115" s="6" t="inlineStr">
        <is>
          <t>Sí</t>
        </is>
      </c>
      <c r="E115" s="6" t="n"/>
      <c r="F115" s="6" t="n"/>
      <c r="G115" s="6" t="n"/>
      <c r="H115" s="6" t="n"/>
      <c r="I115" s="6" t="n"/>
    </row>
    <row r="116">
      <c r="A116" s="4" t="inlineStr">
        <is>
          <t>2026-04-28</t>
        </is>
      </c>
      <c r="B116" s="4" t="inlineStr">
        <is>
          <t>Martes</t>
        </is>
      </c>
      <c r="C116" s="4" t="inlineStr">
        <is>
          <t>12:00</t>
        </is>
      </c>
      <c r="D116" s="4" t="inlineStr">
        <is>
          <t>Sí</t>
        </is>
      </c>
      <c r="E116" s="4" t="n"/>
      <c r="F116" s="4" t="n"/>
      <c r="G116" s="4" t="n"/>
      <c r="H116" s="4" t="n"/>
      <c r="I116" s="4" t="n"/>
    </row>
    <row r="117">
      <c r="A117" s="6" t="inlineStr">
        <is>
          <t>2026-04-28</t>
        </is>
      </c>
      <c r="B117" s="6" t="inlineStr">
        <is>
          <t>Martes</t>
        </is>
      </c>
      <c r="C117" s="6" t="inlineStr">
        <is>
          <t>15:00</t>
        </is>
      </c>
      <c r="D117" s="6" t="inlineStr">
        <is>
          <t>Sí</t>
        </is>
      </c>
      <c r="E117" s="6" t="n"/>
      <c r="F117" s="6" t="n"/>
      <c r="G117" s="6" t="n"/>
      <c r="H117" s="6" t="n"/>
      <c r="I117" s="6" t="n"/>
    </row>
    <row r="118">
      <c r="A118" s="4" t="inlineStr">
        <is>
          <t>2026-04-28</t>
        </is>
      </c>
      <c r="B118" s="4" t="inlineStr">
        <is>
          <t>Martes</t>
        </is>
      </c>
      <c r="C118" s="4" t="inlineStr">
        <is>
          <t>15:45</t>
        </is>
      </c>
      <c r="D118" s="4" t="inlineStr">
        <is>
          <t>Sí</t>
        </is>
      </c>
      <c r="E118" s="4" t="n"/>
      <c r="F118" s="4" t="n"/>
      <c r="G118" s="4" t="n"/>
      <c r="H118" s="4" t="n"/>
      <c r="I118" s="4" t="n"/>
    </row>
    <row r="119">
      <c r="A119" s="6" t="inlineStr">
        <is>
          <t>2026-04-28</t>
        </is>
      </c>
      <c r="B119" s="6" t="inlineStr">
        <is>
          <t>Martes</t>
        </is>
      </c>
      <c r="C119" s="6" t="inlineStr">
        <is>
          <t>16:30</t>
        </is>
      </c>
      <c r="D119" s="6" t="inlineStr">
        <is>
          <t>Sí</t>
        </is>
      </c>
      <c r="E119" s="6" t="n"/>
      <c r="F119" s="6" t="n"/>
      <c r="G119" s="6" t="n"/>
      <c r="H119" s="6" t="n"/>
      <c r="I119" s="6" t="n"/>
    </row>
    <row r="120">
      <c r="A120" s="4" t="inlineStr">
        <is>
          <t>2026-04-28</t>
        </is>
      </c>
      <c r="B120" s="4" t="inlineStr">
        <is>
          <t>Martes</t>
        </is>
      </c>
      <c r="C120" s="4" t="inlineStr">
        <is>
          <t>17:15</t>
        </is>
      </c>
      <c r="D120" s="4" t="inlineStr">
        <is>
          <t>Sí</t>
        </is>
      </c>
      <c r="E120" s="4" t="n"/>
      <c r="F120" s="4" t="n"/>
      <c r="G120" s="4" t="n"/>
      <c r="H120" s="4" t="n"/>
      <c r="I120" s="4" t="n"/>
    </row>
    <row r="121">
      <c r="A121" s="6" t="inlineStr">
        <is>
          <t>2026-04-29</t>
        </is>
      </c>
      <c r="B121" s="6" t="inlineStr">
        <is>
          <t>Miércoles</t>
        </is>
      </c>
      <c r="C121" s="6" t="inlineStr">
        <is>
          <t>09:00</t>
        </is>
      </c>
      <c r="D121" s="6" t="inlineStr">
        <is>
          <t>Sí</t>
        </is>
      </c>
      <c r="E121" s="6" t="n"/>
      <c r="F121" s="6" t="n"/>
      <c r="G121" s="6" t="n"/>
      <c r="H121" s="6" t="n"/>
      <c r="I121" s="6" t="n"/>
    </row>
    <row r="122">
      <c r="A122" s="4" t="inlineStr">
        <is>
          <t>2026-04-29</t>
        </is>
      </c>
      <c r="B122" s="4" t="inlineStr">
        <is>
          <t>Miércoles</t>
        </is>
      </c>
      <c r="C122" s="4" t="inlineStr">
        <is>
          <t>09:45</t>
        </is>
      </c>
      <c r="D122" s="4" t="inlineStr">
        <is>
          <t>Sí</t>
        </is>
      </c>
      <c r="E122" s="4" t="n"/>
      <c r="F122" s="4" t="n"/>
      <c r="G122" s="4" t="n"/>
      <c r="H122" s="4" t="n"/>
      <c r="I122" s="4" t="n"/>
    </row>
    <row r="123">
      <c r="A123" s="6" t="inlineStr">
        <is>
          <t>2026-04-29</t>
        </is>
      </c>
      <c r="B123" s="6" t="inlineStr">
        <is>
          <t>Miércoles</t>
        </is>
      </c>
      <c r="C123" s="6" t="inlineStr">
        <is>
          <t>10:30</t>
        </is>
      </c>
      <c r="D123" s="6" t="inlineStr">
        <is>
          <t>Sí</t>
        </is>
      </c>
      <c r="E123" s="6" t="n"/>
      <c r="F123" s="6" t="n"/>
      <c r="G123" s="6" t="n"/>
      <c r="H123" s="6" t="n"/>
      <c r="I123" s="6" t="n"/>
    </row>
    <row r="124">
      <c r="A124" s="4" t="inlineStr">
        <is>
          <t>2026-04-29</t>
        </is>
      </c>
      <c r="B124" s="4" t="inlineStr">
        <is>
          <t>Miércoles</t>
        </is>
      </c>
      <c r="C124" s="4" t="inlineStr">
        <is>
          <t>11:15</t>
        </is>
      </c>
      <c r="D124" s="4" t="inlineStr">
        <is>
          <t>Sí</t>
        </is>
      </c>
      <c r="E124" s="4" t="n"/>
      <c r="F124" s="4" t="n"/>
      <c r="G124" s="4" t="n"/>
      <c r="H124" s="4" t="n"/>
      <c r="I124" s="4" t="n"/>
    </row>
    <row r="125">
      <c r="A125" s="6" t="inlineStr">
        <is>
          <t>2026-04-29</t>
        </is>
      </c>
      <c r="B125" s="6" t="inlineStr">
        <is>
          <t>Miércoles</t>
        </is>
      </c>
      <c r="C125" s="6" t="inlineStr">
        <is>
          <t>12:00</t>
        </is>
      </c>
      <c r="D125" s="6" t="inlineStr">
        <is>
          <t>Sí</t>
        </is>
      </c>
      <c r="E125" s="6" t="n"/>
      <c r="F125" s="6" t="n"/>
      <c r="G125" s="6" t="n"/>
      <c r="H125" s="6" t="n"/>
      <c r="I125" s="6" t="n"/>
    </row>
    <row r="126">
      <c r="A126" s="4" t="inlineStr">
        <is>
          <t>2026-04-29</t>
        </is>
      </c>
      <c r="B126" s="4" t="inlineStr">
        <is>
          <t>Miércoles</t>
        </is>
      </c>
      <c r="C126" s="4" t="inlineStr">
        <is>
          <t>15:00</t>
        </is>
      </c>
      <c r="D126" s="4" t="inlineStr">
        <is>
          <t>Sí</t>
        </is>
      </c>
      <c r="E126" s="4" t="n"/>
      <c r="F126" s="4" t="n"/>
      <c r="G126" s="4" t="n"/>
      <c r="H126" s="4" t="n"/>
      <c r="I126" s="4" t="n"/>
    </row>
    <row r="127">
      <c r="A127" s="6" t="inlineStr">
        <is>
          <t>2026-04-29</t>
        </is>
      </c>
      <c r="B127" s="6" t="inlineStr">
        <is>
          <t>Miércoles</t>
        </is>
      </c>
      <c r="C127" s="6" t="inlineStr">
        <is>
          <t>15:45</t>
        </is>
      </c>
      <c r="D127" s="6" t="inlineStr">
        <is>
          <t>Sí</t>
        </is>
      </c>
      <c r="E127" s="6" t="n"/>
      <c r="F127" s="6" t="n"/>
      <c r="G127" s="6" t="n"/>
      <c r="H127" s="6" t="n"/>
      <c r="I127" s="6" t="n"/>
    </row>
    <row r="128">
      <c r="A128" s="4" t="inlineStr">
        <is>
          <t>2026-04-29</t>
        </is>
      </c>
      <c r="B128" s="4" t="inlineStr">
        <is>
          <t>Miércoles</t>
        </is>
      </c>
      <c r="C128" s="4" t="inlineStr">
        <is>
          <t>16:30</t>
        </is>
      </c>
      <c r="D128" s="4" t="inlineStr">
        <is>
          <t>Sí</t>
        </is>
      </c>
      <c r="E128" s="4" t="n"/>
      <c r="F128" s="4" t="n"/>
      <c r="G128" s="4" t="n"/>
      <c r="H128" s="4" t="n"/>
      <c r="I128" s="4" t="n"/>
    </row>
    <row r="129">
      <c r="A129" s="6" t="inlineStr">
        <is>
          <t>2026-04-29</t>
        </is>
      </c>
      <c r="B129" s="6" t="inlineStr">
        <is>
          <t>Miércoles</t>
        </is>
      </c>
      <c r="C129" s="6" t="inlineStr">
        <is>
          <t>17:15</t>
        </is>
      </c>
      <c r="D129" s="6" t="inlineStr">
        <is>
          <t>Sí</t>
        </is>
      </c>
      <c r="E129" s="6" t="n"/>
      <c r="F129" s="6" t="n"/>
      <c r="G129" s="6" t="n"/>
      <c r="H129" s="6" t="n"/>
      <c r="I129" s="6" t="n"/>
    </row>
    <row r="130">
      <c r="A130" s="4" t="inlineStr">
        <is>
          <t>2026-04-30</t>
        </is>
      </c>
      <c r="B130" s="4" t="inlineStr">
        <is>
          <t>Jueves</t>
        </is>
      </c>
      <c r="C130" s="4" t="inlineStr">
        <is>
          <t>09:00</t>
        </is>
      </c>
      <c r="D130" s="4" t="inlineStr">
        <is>
          <t>Sí</t>
        </is>
      </c>
      <c r="E130" s="4" t="n"/>
      <c r="F130" s="4" t="n"/>
      <c r="G130" s="4" t="n"/>
      <c r="H130" s="4" t="n"/>
      <c r="I130" s="4" t="n"/>
    </row>
    <row r="131">
      <c r="A131" s="6" t="inlineStr">
        <is>
          <t>2026-04-30</t>
        </is>
      </c>
      <c r="B131" s="6" t="inlineStr">
        <is>
          <t>Jueves</t>
        </is>
      </c>
      <c r="C131" s="6" t="inlineStr">
        <is>
          <t>09:45</t>
        </is>
      </c>
      <c r="D131" s="6" t="inlineStr">
        <is>
          <t>Sí</t>
        </is>
      </c>
      <c r="E131" s="6" t="n"/>
      <c r="F131" s="6" t="n"/>
      <c r="G131" s="6" t="n"/>
      <c r="H131" s="6" t="n"/>
      <c r="I131" s="6" t="n"/>
    </row>
    <row r="132">
      <c r="A132" s="4" t="inlineStr">
        <is>
          <t>2026-04-30</t>
        </is>
      </c>
      <c r="B132" s="4" t="inlineStr">
        <is>
          <t>Jueves</t>
        </is>
      </c>
      <c r="C132" s="4" t="inlineStr">
        <is>
          <t>10:30</t>
        </is>
      </c>
      <c r="D132" s="4" t="inlineStr">
        <is>
          <t>Sí</t>
        </is>
      </c>
      <c r="E132" s="4" t="n"/>
      <c r="F132" s="4" t="n"/>
      <c r="G132" s="4" t="n"/>
      <c r="H132" s="4" t="n"/>
      <c r="I132" s="4" t="n"/>
    </row>
    <row r="133">
      <c r="A133" s="6" t="inlineStr">
        <is>
          <t>2026-04-30</t>
        </is>
      </c>
      <c r="B133" s="6" t="inlineStr">
        <is>
          <t>Jueves</t>
        </is>
      </c>
      <c r="C133" s="6" t="inlineStr">
        <is>
          <t>11:15</t>
        </is>
      </c>
      <c r="D133" s="6" t="inlineStr">
        <is>
          <t>Sí</t>
        </is>
      </c>
      <c r="E133" s="6" t="n"/>
      <c r="F133" s="6" t="n"/>
      <c r="G133" s="6" t="n"/>
      <c r="H133" s="6" t="n"/>
      <c r="I133" s="6" t="n"/>
    </row>
    <row r="134">
      <c r="A134" s="4" t="inlineStr">
        <is>
          <t>2026-04-30</t>
        </is>
      </c>
      <c r="B134" s="4" t="inlineStr">
        <is>
          <t>Jueves</t>
        </is>
      </c>
      <c r="C134" s="4" t="inlineStr">
        <is>
          <t>12:00</t>
        </is>
      </c>
      <c r="D134" s="4" t="inlineStr">
        <is>
          <t>Sí</t>
        </is>
      </c>
      <c r="E134" s="4" t="n"/>
      <c r="F134" s="4" t="n"/>
      <c r="G134" s="4" t="n"/>
      <c r="H134" s="4" t="n"/>
      <c r="I134" s="4" t="n"/>
    </row>
    <row r="135">
      <c r="A135" s="6" t="inlineStr">
        <is>
          <t>2026-04-30</t>
        </is>
      </c>
      <c r="B135" s="6" t="inlineStr">
        <is>
          <t>Jueves</t>
        </is>
      </c>
      <c r="C135" s="6" t="inlineStr">
        <is>
          <t>15:00</t>
        </is>
      </c>
      <c r="D135" s="6" t="inlineStr">
        <is>
          <t>Sí</t>
        </is>
      </c>
      <c r="E135" s="6" t="n"/>
      <c r="F135" s="6" t="n"/>
      <c r="G135" s="6" t="n"/>
      <c r="H135" s="6" t="n"/>
      <c r="I135" s="6" t="n"/>
    </row>
    <row r="136">
      <c r="A136" s="4" t="inlineStr">
        <is>
          <t>2026-04-30</t>
        </is>
      </c>
      <c r="B136" s="4" t="inlineStr">
        <is>
          <t>Jueves</t>
        </is>
      </c>
      <c r="C136" s="4" t="inlineStr">
        <is>
          <t>15:45</t>
        </is>
      </c>
      <c r="D136" s="4" t="inlineStr">
        <is>
          <t>Sí</t>
        </is>
      </c>
      <c r="E136" s="4" t="n"/>
      <c r="F136" s="4" t="n"/>
      <c r="G136" s="4" t="n"/>
      <c r="H136" s="4" t="n"/>
      <c r="I136" s="4" t="n"/>
    </row>
    <row r="137">
      <c r="A137" s="6" t="inlineStr">
        <is>
          <t>2026-04-30</t>
        </is>
      </c>
      <c r="B137" s="6" t="inlineStr">
        <is>
          <t>Jueves</t>
        </is>
      </c>
      <c r="C137" s="6" t="inlineStr">
        <is>
          <t>16:30</t>
        </is>
      </c>
      <c r="D137" s="6" t="inlineStr">
        <is>
          <t>Sí</t>
        </is>
      </c>
      <c r="E137" s="6" t="n"/>
      <c r="F137" s="6" t="n"/>
      <c r="G137" s="6" t="n"/>
      <c r="H137" s="6" t="n"/>
      <c r="I137" s="6" t="n"/>
    </row>
    <row r="138">
      <c r="A138" s="4" t="inlineStr">
        <is>
          <t>2026-04-30</t>
        </is>
      </c>
      <c r="B138" s="4" t="inlineStr">
        <is>
          <t>Jueves</t>
        </is>
      </c>
      <c r="C138" s="4" t="inlineStr">
        <is>
          <t>17:15</t>
        </is>
      </c>
      <c r="D138" s="4" t="inlineStr">
        <is>
          <t>Sí</t>
        </is>
      </c>
      <c r="E138" s="4" t="n"/>
      <c r="F138" s="4" t="n"/>
      <c r="G138" s="4" t="n"/>
      <c r="H138" s="4" t="n"/>
      <c r="I138" s="4" t="n"/>
    </row>
    <row r="139">
      <c r="A139" s="6" t="inlineStr">
        <is>
          <t>2026-05-01</t>
        </is>
      </c>
      <c r="B139" s="6" t="inlineStr">
        <is>
          <t>Viernes</t>
        </is>
      </c>
      <c r="C139" s="6" t="inlineStr">
        <is>
          <t>09:00</t>
        </is>
      </c>
      <c r="D139" s="6" t="inlineStr">
        <is>
          <t>Sí</t>
        </is>
      </c>
      <c r="E139" s="6" t="n"/>
      <c r="F139" s="6" t="n"/>
      <c r="G139" s="6" t="n"/>
      <c r="H139" s="6" t="n"/>
      <c r="I139" s="6" t="n"/>
    </row>
    <row r="140">
      <c r="A140" s="4" t="inlineStr">
        <is>
          <t>2026-05-01</t>
        </is>
      </c>
      <c r="B140" s="4" t="inlineStr">
        <is>
          <t>Viernes</t>
        </is>
      </c>
      <c r="C140" s="4" t="inlineStr">
        <is>
          <t>09:45</t>
        </is>
      </c>
      <c r="D140" s="4" t="inlineStr">
        <is>
          <t>Sí</t>
        </is>
      </c>
      <c r="E140" s="4" t="n"/>
      <c r="F140" s="4" t="n"/>
      <c r="G140" s="4" t="n"/>
      <c r="H140" s="4" t="n"/>
      <c r="I140" s="4" t="n"/>
    </row>
    <row r="141">
      <c r="A141" s="6" t="inlineStr">
        <is>
          <t>2026-05-01</t>
        </is>
      </c>
      <c r="B141" s="6" t="inlineStr">
        <is>
          <t>Viernes</t>
        </is>
      </c>
      <c r="C141" s="6" t="inlineStr">
        <is>
          <t>10:30</t>
        </is>
      </c>
      <c r="D141" s="6" t="inlineStr">
        <is>
          <t>Sí</t>
        </is>
      </c>
      <c r="E141" s="6" t="n"/>
      <c r="F141" s="6" t="n"/>
      <c r="G141" s="6" t="n"/>
      <c r="H141" s="6" t="n"/>
      <c r="I141" s="6" t="n"/>
    </row>
    <row r="142">
      <c r="A142" s="4" t="inlineStr">
        <is>
          <t>2026-05-01</t>
        </is>
      </c>
      <c r="B142" s="4" t="inlineStr">
        <is>
          <t>Viernes</t>
        </is>
      </c>
      <c r="C142" s="4" t="inlineStr">
        <is>
          <t>11:15</t>
        </is>
      </c>
      <c r="D142" s="4" t="inlineStr">
        <is>
          <t>Sí</t>
        </is>
      </c>
      <c r="E142" s="4" t="n"/>
      <c r="F142" s="4" t="n"/>
      <c r="G142" s="4" t="n"/>
      <c r="H142" s="4" t="n"/>
      <c r="I142" s="4" t="n"/>
    </row>
    <row r="143">
      <c r="A143" s="6" t="inlineStr">
        <is>
          <t>2026-05-01</t>
        </is>
      </c>
      <c r="B143" s="6" t="inlineStr">
        <is>
          <t>Viernes</t>
        </is>
      </c>
      <c r="C143" s="6" t="inlineStr">
        <is>
          <t>12:00</t>
        </is>
      </c>
      <c r="D143" s="6" t="inlineStr">
        <is>
          <t>Sí</t>
        </is>
      </c>
      <c r="E143" s="6" t="n"/>
      <c r="F143" s="6" t="n"/>
      <c r="G143" s="6" t="n"/>
      <c r="H143" s="6" t="n"/>
      <c r="I143" s="6" t="n"/>
    </row>
    <row r="144">
      <c r="A144" s="4" t="inlineStr">
        <is>
          <t>2026-05-01</t>
        </is>
      </c>
      <c r="B144" s="4" t="inlineStr">
        <is>
          <t>Viernes</t>
        </is>
      </c>
      <c r="C144" s="4" t="inlineStr">
        <is>
          <t>15:00</t>
        </is>
      </c>
      <c r="D144" s="4" t="inlineStr">
        <is>
          <t>Sí</t>
        </is>
      </c>
      <c r="E144" s="4" t="n"/>
      <c r="F144" s="4" t="n"/>
      <c r="G144" s="4" t="n"/>
      <c r="H144" s="4" t="n"/>
      <c r="I144" s="4" t="n"/>
    </row>
    <row r="145">
      <c r="A145" s="6" t="inlineStr">
        <is>
          <t>2026-05-01</t>
        </is>
      </c>
      <c r="B145" s="6" t="inlineStr">
        <is>
          <t>Viernes</t>
        </is>
      </c>
      <c r="C145" s="6" t="inlineStr">
        <is>
          <t>15:45</t>
        </is>
      </c>
      <c r="D145" s="6" t="inlineStr">
        <is>
          <t>Sí</t>
        </is>
      </c>
      <c r="E145" s="6" t="n"/>
      <c r="F145" s="6" t="n"/>
      <c r="G145" s="6" t="n"/>
      <c r="H145" s="6" t="n"/>
      <c r="I145" s="6" t="n"/>
    </row>
    <row r="146">
      <c r="A146" s="4" t="inlineStr">
        <is>
          <t>2026-05-01</t>
        </is>
      </c>
      <c r="B146" s="4" t="inlineStr">
        <is>
          <t>Viernes</t>
        </is>
      </c>
      <c r="C146" s="4" t="inlineStr">
        <is>
          <t>16:30</t>
        </is>
      </c>
      <c r="D146" s="4" t="inlineStr">
        <is>
          <t>Sí</t>
        </is>
      </c>
      <c r="E146" s="4" t="n"/>
      <c r="F146" s="4" t="n"/>
      <c r="G146" s="4" t="n"/>
      <c r="H146" s="4" t="n"/>
      <c r="I146" s="4" t="n"/>
    </row>
    <row r="147">
      <c r="A147" s="6" t="inlineStr">
        <is>
          <t>2026-05-01</t>
        </is>
      </c>
      <c r="B147" s="6" t="inlineStr">
        <is>
          <t>Viernes</t>
        </is>
      </c>
      <c r="C147" s="6" t="inlineStr">
        <is>
          <t>17:15</t>
        </is>
      </c>
      <c r="D147" s="6" t="inlineStr">
        <is>
          <t>Sí</t>
        </is>
      </c>
      <c r="E147" s="6" t="n"/>
      <c r="F147" s="6" t="n"/>
      <c r="G147" s="6" t="n"/>
      <c r="H147" s="6" t="n"/>
      <c r="I147" s="6" t="n"/>
    </row>
    <row r="148">
      <c r="A148" s="4" t="inlineStr">
        <is>
          <t>2026-05-04</t>
        </is>
      </c>
      <c r="B148" s="4" t="inlineStr">
        <is>
          <t>Lunes</t>
        </is>
      </c>
      <c r="C148" s="4" t="inlineStr">
        <is>
          <t>09:00</t>
        </is>
      </c>
      <c r="D148" s="4" t="inlineStr">
        <is>
          <t>Sí</t>
        </is>
      </c>
      <c r="E148" s="4" t="n"/>
      <c r="F148" s="4" t="n"/>
      <c r="G148" s="4" t="n"/>
      <c r="H148" s="4" t="n"/>
      <c r="I148" s="4" t="n"/>
    </row>
    <row r="149">
      <c r="A149" s="6" t="inlineStr">
        <is>
          <t>2026-05-04</t>
        </is>
      </c>
      <c r="B149" s="6" t="inlineStr">
        <is>
          <t>Lunes</t>
        </is>
      </c>
      <c r="C149" s="6" t="inlineStr">
        <is>
          <t>09:45</t>
        </is>
      </c>
      <c r="D149" s="6" t="inlineStr">
        <is>
          <t>Sí</t>
        </is>
      </c>
      <c r="E149" s="6" t="n"/>
      <c r="F149" s="6" t="n"/>
      <c r="G149" s="6" t="n"/>
      <c r="H149" s="6" t="n"/>
      <c r="I149" s="6" t="n"/>
    </row>
    <row r="150">
      <c r="A150" s="4" t="inlineStr">
        <is>
          <t>2026-05-04</t>
        </is>
      </c>
      <c r="B150" s="4" t="inlineStr">
        <is>
          <t>Lunes</t>
        </is>
      </c>
      <c r="C150" s="4" t="inlineStr">
        <is>
          <t>10:30</t>
        </is>
      </c>
      <c r="D150" s="4" t="inlineStr">
        <is>
          <t>Sí</t>
        </is>
      </c>
      <c r="E150" s="4" t="n"/>
      <c r="F150" s="4" t="n"/>
      <c r="G150" s="4" t="n"/>
      <c r="H150" s="4" t="n"/>
      <c r="I150" s="4" t="n"/>
    </row>
    <row r="151">
      <c r="A151" s="6" t="inlineStr">
        <is>
          <t>2026-05-04</t>
        </is>
      </c>
      <c r="B151" s="6" t="inlineStr">
        <is>
          <t>Lunes</t>
        </is>
      </c>
      <c r="C151" s="6" t="inlineStr">
        <is>
          <t>11:15</t>
        </is>
      </c>
      <c r="D151" s="6" t="inlineStr">
        <is>
          <t>Sí</t>
        </is>
      </c>
      <c r="E151" s="6" t="n"/>
      <c r="F151" s="6" t="n"/>
      <c r="G151" s="6" t="n"/>
      <c r="H151" s="6" t="n"/>
      <c r="I151" s="6" t="n"/>
    </row>
    <row r="152">
      <c r="A152" s="4" t="inlineStr">
        <is>
          <t>2026-05-04</t>
        </is>
      </c>
      <c r="B152" s="4" t="inlineStr">
        <is>
          <t>Lunes</t>
        </is>
      </c>
      <c r="C152" s="4" t="inlineStr">
        <is>
          <t>12:00</t>
        </is>
      </c>
      <c r="D152" s="4" t="inlineStr">
        <is>
          <t>Sí</t>
        </is>
      </c>
      <c r="E152" s="4" t="n"/>
      <c r="F152" s="4" t="n"/>
      <c r="G152" s="4" t="n"/>
      <c r="H152" s="4" t="n"/>
      <c r="I152" s="4" t="n"/>
    </row>
    <row r="153">
      <c r="A153" s="6" t="inlineStr">
        <is>
          <t>2026-05-04</t>
        </is>
      </c>
      <c r="B153" s="6" t="inlineStr">
        <is>
          <t>Lunes</t>
        </is>
      </c>
      <c r="C153" s="6" t="inlineStr">
        <is>
          <t>15:00</t>
        </is>
      </c>
      <c r="D153" s="6" t="inlineStr">
        <is>
          <t>Sí</t>
        </is>
      </c>
      <c r="E153" s="6" t="n"/>
      <c r="F153" s="6" t="n"/>
      <c r="G153" s="6" t="n"/>
      <c r="H153" s="6" t="n"/>
      <c r="I153" s="6" t="n"/>
    </row>
    <row r="154">
      <c r="A154" s="4" t="inlineStr">
        <is>
          <t>2026-05-04</t>
        </is>
      </c>
      <c r="B154" s="4" t="inlineStr">
        <is>
          <t>Lunes</t>
        </is>
      </c>
      <c r="C154" s="4" t="inlineStr">
        <is>
          <t>15:45</t>
        </is>
      </c>
      <c r="D154" s="4" t="inlineStr">
        <is>
          <t>Sí</t>
        </is>
      </c>
      <c r="E154" s="4" t="n"/>
      <c r="F154" s="4" t="n"/>
      <c r="G154" s="4" t="n"/>
      <c r="H154" s="4" t="n"/>
      <c r="I154" s="4" t="n"/>
    </row>
    <row r="155">
      <c r="A155" s="6" t="inlineStr">
        <is>
          <t>2026-05-04</t>
        </is>
      </c>
      <c r="B155" s="6" t="inlineStr">
        <is>
          <t>Lunes</t>
        </is>
      </c>
      <c r="C155" s="6" t="inlineStr">
        <is>
          <t>16:30</t>
        </is>
      </c>
      <c r="D155" s="6" t="inlineStr">
        <is>
          <t>Sí</t>
        </is>
      </c>
      <c r="E155" s="6" t="n"/>
      <c r="F155" s="6" t="n"/>
      <c r="G155" s="6" t="n"/>
      <c r="H155" s="6" t="n"/>
      <c r="I155" s="6" t="n"/>
    </row>
    <row r="156">
      <c r="A156" s="4" t="inlineStr">
        <is>
          <t>2026-05-04</t>
        </is>
      </c>
      <c r="B156" s="4" t="inlineStr">
        <is>
          <t>Lunes</t>
        </is>
      </c>
      <c r="C156" s="4" t="inlineStr">
        <is>
          <t>17:15</t>
        </is>
      </c>
      <c r="D156" s="4" t="inlineStr">
        <is>
          <t>Sí</t>
        </is>
      </c>
      <c r="E156" s="4" t="n"/>
      <c r="F156" s="4" t="n"/>
      <c r="G156" s="4" t="n"/>
      <c r="H156" s="4" t="n"/>
      <c r="I156" s="4" t="n"/>
    </row>
    <row r="157">
      <c r="A157" s="6" t="inlineStr">
        <is>
          <t>2026-05-05</t>
        </is>
      </c>
      <c r="B157" s="6" t="inlineStr">
        <is>
          <t>Martes</t>
        </is>
      </c>
      <c r="C157" s="6" t="inlineStr">
        <is>
          <t>09:00</t>
        </is>
      </c>
      <c r="D157" s="6" t="inlineStr">
        <is>
          <t>Sí</t>
        </is>
      </c>
      <c r="E157" s="6" t="n"/>
      <c r="F157" s="6" t="n"/>
      <c r="G157" s="6" t="n"/>
      <c r="H157" s="6" t="n"/>
      <c r="I157" s="6" t="n"/>
    </row>
    <row r="158">
      <c r="A158" s="4" t="inlineStr">
        <is>
          <t>2026-05-05</t>
        </is>
      </c>
      <c r="B158" s="4" t="inlineStr">
        <is>
          <t>Martes</t>
        </is>
      </c>
      <c r="C158" s="4" t="inlineStr">
        <is>
          <t>09:45</t>
        </is>
      </c>
      <c r="D158" s="4" t="inlineStr">
        <is>
          <t>Sí</t>
        </is>
      </c>
      <c r="E158" s="4" t="n"/>
      <c r="F158" s="4" t="n"/>
      <c r="G158" s="4" t="n"/>
      <c r="H158" s="4" t="n"/>
      <c r="I158" s="4" t="n"/>
    </row>
    <row r="159">
      <c r="A159" s="6" t="inlineStr">
        <is>
          <t>2026-05-05</t>
        </is>
      </c>
      <c r="B159" s="6" t="inlineStr">
        <is>
          <t>Martes</t>
        </is>
      </c>
      <c r="C159" s="6" t="inlineStr">
        <is>
          <t>10:30</t>
        </is>
      </c>
      <c r="D159" s="6" t="inlineStr">
        <is>
          <t>Sí</t>
        </is>
      </c>
      <c r="E159" s="6" t="n"/>
      <c r="F159" s="6" t="n"/>
      <c r="G159" s="6" t="n"/>
      <c r="H159" s="6" t="n"/>
      <c r="I159" s="6" t="n"/>
    </row>
    <row r="160">
      <c r="A160" s="4" t="inlineStr">
        <is>
          <t>2026-05-05</t>
        </is>
      </c>
      <c r="B160" s="4" t="inlineStr">
        <is>
          <t>Martes</t>
        </is>
      </c>
      <c r="C160" s="4" t="inlineStr">
        <is>
          <t>11:15</t>
        </is>
      </c>
      <c r="D160" s="4" t="inlineStr">
        <is>
          <t>Sí</t>
        </is>
      </c>
      <c r="E160" s="4" t="n"/>
      <c r="F160" s="4" t="n"/>
      <c r="G160" s="4" t="n"/>
      <c r="H160" s="4" t="n"/>
      <c r="I160" s="4" t="n"/>
    </row>
    <row r="161">
      <c r="A161" s="6" t="inlineStr">
        <is>
          <t>2026-05-05</t>
        </is>
      </c>
      <c r="B161" s="6" t="inlineStr">
        <is>
          <t>Martes</t>
        </is>
      </c>
      <c r="C161" s="6" t="inlineStr">
        <is>
          <t>12:00</t>
        </is>
      </c>
      <c r="D161" s="6" t="inlineStr">
        <is>
          <t>Sí</t>
        </is>
      </c>
      <c r="E161" s="6" t="n"/>
      <c r="F161" s="6" t="n"/>
      <c r="G161" s="6" t="n"/>
      <c r="H161" s="6" t="n"/>
      <c r="I161" s="6" t="n"/>
    </row>
    <row r="162">
      <c r="A162" s="4" t="inlineStr">
        <is>
          <t>2026-05-05</t>
        </is>
      </c>
      <c r="B162" s="4" t="inlineStr">
        <is>
          <t>Martes</t>
        </is>
      </c>
      <c r="C162" s="4" t="inlineStr">
        <is>
          <t>15:00</t>
        </is>
      </c>
      <c r="D162" s="4" t="inlineStr">
        <is>
          <t>Sí</t>
        </is>
      </c>
      <c r="E162" s="4" t="n"/>
      <c r="F162" s="4" t="n"/>
      <c r="G162" s="4" t="n"/>
      <c r="H162" s="4" t="n"/>
      <c r="I162" s="4" t="n"/>
    </row>
    <row r="163">
      <c r="A163" s="6" t="inlineStr">
        <is>
          <t>2026-05-05</t>
        </is>
      </c>
      <c r="B163" s="6" t="inlineStr">
        <is>
          <t>Martes</t>
        </is>
      </c>
      <c r="C163" s="6" t="inlineStr">
        <is>
          <t>15:45</t>
        </is>
      </c>
      <c r="D163" s="6" t="inlineStr">
        <is>
          <t>Sí</t>
        </is>
      </c>
      <c r="E163" s="6" t="n"/>
      <c r="F163" s="6" t="n"/>
      <c r="G163" s="6" t="n"/>
      <c r="H163" s="6" t="n"/>
      <c r="I163" s="6" t="n"/>
    </row>
    <row r="164">
      <c r="A164" s="4" t="inlineStr">
        <is>
          <t>2026-05-05</t>
        </is>
      </c>
      <c r="B164" s="4" t="inlineStr">
        <is>
          <t>Martes</t>
        </is>
      </c>
      <c r="C164" s="4" t="inlineStr">
        <is>
          <t>16:30</t>
        </is>
      </c>
      <c r="D164" s="4" t="inlineStr">
        <is>
          <t>Sí</t>
        </is>
      </c>
      <c r="E164" s="4" t="n"/>
      <c r="F164" s="4" t="n"/>
      <c r="G164" s="4" t="n"/>
      <c r="H164" s="4" t="n"/>
      <c r="I164" s="4" t="n"/>
    </row>
    <row r="165">
      <c r="A165" s="6" t="inlineStr">
        <is>
          <t>2026-05-05</t>
        </is>
      </c>
      <c r="B165" s="6" t="inlineStr">
        <is>
          <t>Martes</t>
        </is>
      </c>
      <c r="C165" s="6" t="inlineStr">
        <is>
          <t>17:15</t>
        </is>
      </c>
      <c r="D165" s="6" t="inlineStr">
        <is>
          <t>Sí</t>
        </is>
      </c>
      <c r="E165" s="6" t="n"/>
      <c r="F165" s="6" t="n"/>
      <c r="G165" s="6" t="n"/>
      <c r="H165" s="6" t="n"/>
      <c r="I165" s="6" t="n"/>
    </row>
    <row r="166">
      <c r="A166" s="4" t="inlineStr">
        <is>
          <t>2026-05-06</t>
        </is>
      </c>
      <c r="B166" s="4" t="inlineStr">
        <is>
          <t>Miércoles</t>
        </is>
      </c>
      <c r="C166" s="4" t="inlineStr">
        <is>
          <t>09:00</t>
        </is>
      </c>
      <c r="D166" s="4" t="inlineStr">
        <is>
          <t>Sí</t>
        </is>
      </c>
      <c r="E166" s="4" t="n"/>
      <c r="F166" s="4" t="n"/>
      <c r="G166" s="4" t="n"/>
      <c r="H166" s="4" t="n"/>
      <c r="I166" s="4" t="n"/>
    </row>
    <row r="167">
      <c r="A167" s="6" t="inlineStr">
        <is>
          <t>2026-05-06</t>
        </is>
      </c>
      <c r="B167" s="6" t="inlineStr">
        <is>
          <t>Miércoles</t>
        </is>
      </c>
      <c r="C167" s="6" t="inlineStr">
        <is>
          <t>09:45</t>
        </is>
      </c>
      <c r="D167" s="6" t="inlineStr">
        <is>
          <t>Sí</t>
        </is>
      </c>
      <c r="E167" s="6" t="n"/>
      <c r="F167" s="6" t="n"/>
      <c r="G167" s="6" t="n"/>
      <c r="H167" s="6" t="n"/>
      <c r="I167" s="6" t="n"/>
    </row>
    <row r="168">
      <c r="A168" s="4" t="inlineStr">
        <is>
          <t>2026-05-06</t>
        </is>
      </c>
      <c r="B168" s="4" t="inlineStr">
        <is>
          <t>Miércoles</t>
        </is>
      </c>
      <c r="C168" s="4" t="inlineStr">
        <is>
          <t>10:30</t>
        </is>
      </c>
      <c r="D168" s="4" t="inlineStr">
        <is>
          <t>Sí</t>
        </is>
      </c>
      <c r="E168" s="4" t="n"/>
      <c r="F168" s="4" t="n"/>
      <c r="G168" s="4" t="n"/>
      <c r="H168" s="4" t="n"/>
      <c r="I168" s="4" t="n"/>
    </row>
    <row r="169">
      <c r="A169" s="6" t="inlineStr">
        <is>
          <t>2026-05-06</t>
        </is>
      </c>
      <c r="B169" s="6" t="inlineStr">
        <is>
          <t>Miércoles</t>
        </is>
      </c>
      <c r="C169" s="6" t="inlineStr">
        <is>
          <t>11:15</t>
        </is>
      </c>
      <c r="D169" s="6" t="inlineStr">
        <is>
          <t>Sí</t>
        </is>
      </c>
      <c r="E169" s="6" t="n"/>
      <c r="F169" s="6" t="n"/>
      <c r="G169" s="6" t="n"/>
      <c r="H169" s="6" t="n"/>
      <c r="I169" s="6" t="n"/>
    </row>
    <row r="170">
      <c r="A170" s="4" t="inlineStr">
        <is>
          <t>2026-05-06</t>
        </is>
      </c>
      <c r="B170" s="4" t="inlineStr">
        <is>
          <t>Miércoles</t>
        </is>
      </c>
      <c r="C170" s="4" t="inlineStr">
        <is>
          <t>12:00</t>
        </is>
      </c>
      <c r="D170" s="4" t="inlineStr">
        <is>
          <t>Sí</t>
        </is>
      </c>
      <c r="E170" s="4" t="n"/>
      <c r="F170" s="4" t="n"/>
      <c r="G170" s="4" t="n"/>
      <c r="H170" s="4" t="n"/>
      <c r="I170" s="4" t="n"/>
    </row>
    <row r="171">
      <c r="A171" s="6" t="inlineStr">
        <is>
          <t>2026-05-06</t>
        </is>
      </c>
      <c r="B171" s="6" t="inlineStr">
        <is>
          <t>Miércoles</t>
        </is>
      </c>
      <c r="C171" s="6" t="inlineStr">
        <is>
          <t>15:00</t>
        </is>
      </c>
      <c r="D171" s="6" t="inlineStr">
        <is>
          <t>Sí</t>
        </is>
      </c>
      <c r="E171" s="6" t="n"/>
      <c r="F171" s="6" t="n"/>
      <c r="G171" s="6" t="n"/>
      <c r="H171" s="6" t="n"/>
      <c r="I171" s="6" t="n"/>
    </row>
    <row r="172">
      <c r="A172" s="4" t="inlineStr">
        <is>
          <t>2026-05-06</t>
        </is>
      </c>
      <c r="B172" s="4" t="inlineStr">
        <is>
          <t>Miércoles</t>
        </is>
      </c>
      <c r="C172" s="4" t="inlineStr">
        <is>
          <t>15:45</t>
        </is>
      </c>
      <c r="D172" s="4" t="inlineStr">
        <is>
          <t>Sí</t>
        </is>
      </c>
      <c r="E172" s="4" t="n"/>
      <c r="F172" s="4" t="n"/>
      <c r="G172" s="4" t="n"/>
      <c r="H172" s="4" t="n"/>
      <c r="I172" s="4" t="n"/>
    </row>
    <row r="173">
      <c r="A173" s="6" t="inlineStr">
        <is>
          <t>2026-05-06</t>
        </is>
      </c>
      <c r="B173" s="6" t="inlineStr">
        <is>
          <t>Miércoles</t>
        </is>
      </c>
      <c r="C173" s="6" t="inlineStr">
        <is>
          <t>16:30</t>
        </is>
      </c>
      <c r="D173" s="6" t="inlineStr">
        <is>
          <t>Sí</t>
        </is>
      </c>
      <c r="E173" s="6" t="n"/>
      <c r="F173" s="6" t="n"/>
      <c r="G173" s="6" t="n"/>
      <c r="H173" s="6" t="n"/>
      <c r="I173" s="6" t="n"/>
    </row>
    <row r="174">
      <c r="A174" s="4" t="inlineStr">
        <is>
          <t>2026-05-06</t>
        </is>
      </c>
      <c r="B174" s="4" t="inlineStr">
        <is>
          <t>Miércoles</t>
        </is>
      </c>
      <c r="C174" s="4" t="inlineStr">
        <is>
          <t>17:15</t>
        </is>
      </c>
      <c r="D174" s="4" t="inlineStr">
        <is>
          <t>Sí</t>
        </is>
      </c>
      <c r="E174" s="4" t="n"/>
      <c r="F174" s="4" t="n"/>
      <c r="G174" s="4" t="n"/>
      <c r="H174" s="4" t="n"/>
      <c r="I174" s="4" t="n"/>
    </row>
    <row r="175">
      <c r="A175" s="6" t="inlineStr">
        <is>
          <t>2026-05-07</t>
        </is>
      </c>
      <c r="B175" s="6" t="inlineStr">
        <is>
          <t>Jueves</t>
        </is>
      </c>
      <c r="C175" s="6" t="inlineStr">
        <is>
          <t>09:00</t>
        </is>
      </c>
      <c r="D175" s="6" t="inlineStr">
        <is>
          <t>Sí</t>
        </is>
      </c>
      <c r="E175" s="6" t="n"/>
      <c r="F175" s="6" t="n"/>
      <c r="G175" s="6" t="n"/>
      <c r="H175" s="6" t="n"/>
      <c r="I175" s="6" t="n"/>
    </row>
    <row r="176">
      <c r="A176" s="4" t="inlineStr">
        <is>
          <t>2026-05-07</t>
        </is>
      </c>
      <c r="B176" s="4" t="inlineStr">
        <is>
          <t>Jueves</t>
        </is>
      </c>
      <c r="C176" s="4" t="inlineStr">
        <is>
          <t>09:45</t>
        </is>
      </c>
      <c r="D176" s="4" t="inlineStr">
        <is>
          <t>Sí</t>
        </is>
      </c>
      <c r="E176" s="4" t="n"/>
      <c r="F176" s="4" t="n"/>
      <c r="G176" s="4" t="n"/>
      <c r="H176" s="4" t="n"/>
      <c r="I176" s="4" t="n"/>
    </row>
    <row r="177">
      <c r="A177" s="6" t="inlineStr">
        <is>
          <t>2026-05-07</t>
        </is>
      </c>
      <c r="B177" s="6" t="inlineStr">
        <is>
          <t>Jueves</t>
        </is>
      </c>
      <c r="C177" s="6" t="inlineStr">
        <is>
          <t>10:30</t>
        </is>
      </c>
      <c r="D177" s="6" t="inlineStr">
        <is>
          <t>Sí</t>
        </is>
      </c>
      <c r="E177" s="6" t="n"/>
      <c r="F177" s="6" t="n"/>
      <c r="G177" s="6" t="n"/>
      <c r="H177" s="6" t="n"/>
      <c r="I177" s="6" t="n"/>
    </row>
    <row r="178">
      <c r="A178" s="4" t="inlineStr">
        <is>
          <t>2026-05-07</t>
        </is>
      </c>
      <c r="B178" s="4" t="inlineStr">
        <is>
          <t>Jueves</t>
        </is>
      </c>
      <c r="C178" s="4" t="inlineStr">
        <is>
          <t>11:15</t>
        </is>
      </c>
      <c r="D178" s="4" t="inlineStr">
        <is>
          <t>Sí</t>
        </is>
      </c>
      <c r="E178" s="4" t="n"/>
      <c r="F178" s="4" t="n"/>
      <c r="G178" s="4" t="n"/>
      <c r="H178" s="4" t="n"/>
      <c r="I178" s="4" t="n"/>
    </row>
    <row r="179">
      <c r="A179" s="6" t="inlineStr">
        <is>
          <t>2026-05-07</t>
        </is>
      </c>
      <c r="B179" s="6" t="inlineStr">
        <is>
          <t>Jueves</t>
        </is>
      </c>
      <c r="C179" s="6" t="inlineStr">
        <is>
          <t>12:00</t>
        </is>
      </c>
      <c r="D179" s="6" t="inlineStr">
        <is>
          <t>Sí</t>
        </is>
      </c>
      <c r="E179" s="6" t="n"/>
      <c r="F179" s="6" t="n"/>
      <c r="G179" s="6" t="n"/>
      <c r="H179" s="6" t="n"/>
      <c r="I179" s="6" t="n"/>
    </row>
    <row r="180">
      <c r="A180" s="4" t="inlineStr">
        <is>
          <t>2026-05-07</t>
        </is>
      </c>
      <c r="B180" s="4" t="inlineStr">
        <is>
          <t>Jueves</t>
        </is>
      </c>
      <c r="C180" s="4" t="inlineStr">
        <is>
          <t>15:00</t>
        </is>
      </c>
      <c r="D180" s="4" t="inlineStr">
        <is>
          <t>Sí</t>
        </is>
      </c>
      <c r="E180" s="4" t="n"/>
      <c r="F180" s="4" t="n"/>
      <c r="G180" s="4" t="n"/>
      <c r="H180" s="4" t="n"/>
      <c r="I180" s="4" t="n"/>
    </row>
    <row r="181">
      <c r="A181" s="6" t="inlineStr">
        <is>
          <t>2026-05-07</t>
        </is>
      </c>
      <c r="B181" s="6" t="inlineStr">
        <is>
          <t>Jueves</t>
        </is>
      </c>
      <c r="C181" s="6" t="inlineStr">
        <is>
          <t>15:45</t>
        </is>
      </c>
      <c r="D181" s="6" t="inlineStr">
        <is>
          <t>Sí</t>
        </is>
      </c>
      <c r="E181" s="6" t="n"/>
      <c r="F181" s="6" t="n"/>
      <c r="G181" s="6" t="n"/>
      <c r="H181" s="6" t="n"/>
      <c r="I181" s="6" t="n"/>
    </row>
    <row r="182">
      <c r="A182" s="4" t="inlineStr">
        <is>
          <t>2026-05-07</t>
        </is>
      </c>
      <c r="B182" s="4" t="inlineStr">
        <is>
          <t>Jueves</t>
        </is>
      </c>
      <c r="C182" s="4" t="inlineStr">
        <is>
          <t>16:30</t>
        </is>
      </c>
      <c r="D182" s="4" t="inlineStr">
        <is>
          <t>Sí</t>
        </is>
      </c>
      <c r="E182" s="4" t="n"/>
      <c r="F182" s="4" t="n"/>
      <c r="G182" s="4" t="n"/>
      <c r="H182" s="4" t="n"/>
      <c r="I182" s="4" t="n"/>
    </row>
    <row r="183">
      <c r="A183" s="6" t="inlineStr">
        <is>
          <t>2026-05-07</t>
        </is>
      </c>
      <c r="B183" s="6" t="inlineStr">
        <is>
          <t>Jueves</t>
        </is>
      </c>
      <c r="C183" s="6" t="inlineStr">
        <is>
          <t>17:15</t>
        </is>
      </c>
      <c r="D183" s="6" t="inlineStr">
        <is>
          <t>Sí</t>
        </is>
      </c>
      <c r="E183" s="6" t="n"/>
      <c r="F183" s="6" t="n"/>
      <c r="G183" s="6" t="n"/>
      <c r="H183" s="6" t="n"/>
      <c r="I183" s="6" t="n"/>
    </row>
    <row r="184">
      <c r="A184" s="4" t="inlineStr">
        <is>
          <t>2026-05-08</t>
        </is>
      </c>
      <c r="B184" s="4" t="inlineStr">
        <is>
          <t>Viernes</t>
        </is>
      </c>
      <c r="C184" s="4" t="inlineStr">
        <is>
          <t>09:00</t>
        </is>
      </c>
      <c r="D184" s="4" t="inlineStr">
        <is>
          <t>Sí</t>
        </is>
      </c>
      <c r="E184" s="4" t="n"/>
      <c r="F184" s="4" t="n"/>
      <c r="G184" s="4" t="n"/>
      <c r="H184" s="4" t="n"/>
      <c r="I184" s="4" t="n"/>
    </row>
    <row r="185">
      <c r="A185" s="6" t="inlineStr">
        <is>
          <t>2026-05-08</t>
        </is>
      </c>
      <c r="B185" s="6" t="inlineStr">
        <is>
          <t>Viernes</t>
        </is>
      </c>
      <c r="C185" s="6" t="inlineStr">
        <is>
          <t>09:45</t>
        </is>
      </c>
      <c r="D185" s="6" t="inlineStr">
        <is>
          <t>Sí</t>
        </is>
      </c>
      <c r="E185" s="6" t="n"/>
      <c r="F185" s="6" t="n"/>
      <c r="G185" s="6" t="n"/>
      <c r="H185" s="6" t="n"/>
      <c r="I185" s="6" t="n"/>
    </row>
    <row r="186">
      <c r="A186" s="4" t="inlineStr">
        <is>
          <t>2026-05-08</t>
        </is>
      </c>
      <c r="B186" s="4" t="inlineStr">
        <is>
          <t>Viernes</t>
        </is>
      </c>
      <c r="C186" s="4" t="inlineStr">
        <is>
          <t>10:30</t>
        </is>
      </c>
      <c r="D186" s="4" t="inlineStr">
        <is>
          <t>Sí</t>
        </is>
      </c>
      <c r="E186" s="4" t="n"/>
      <c r="F186" s="4" t="n"/>
      <c r="G186" s="4" t="n"/>
      <c r="H186" s="4" t="n"/>
      <c r="I186" s="4" t="n"/>
    </row>
    <row r="187">
      <c r="A187" s="6" t="inlineStr">
        <is>
          <t>2026-05-08</t>
        </is>
      </c>
      <c r="B187" s="6" t="inlineStr">
        <is>
          <t>Viernes</t>
        </is>
      </c>
      <c r="C187" s="6" t="inlineStr">
        <is>
          <t>11:15</t>
        </is>
      </c>
      <c r="D187" s="6" t="inlineStr">
        <is>
          <t>Sí</t>
        </is>
      </c>
      <c r="E187" s="6" t="n"/>
      <c r="F187" s="6" t="n"/>
      <c r="G187" s="6" t="n"/>
      <c r="H187" s="6" t="n"/>
      <c r="I187" s="6" t="n"/>
    </row>
    <row r="188">
      <c r="A188" s="4" t="inlineStr">
        <is>
          <t>2026-05-08</t>
        </is>
      </c>
      <c r="B188" s="4" t="inlineStr">
        <is>
          <t>Viernes</t>
        </is>
      </c>
      <c r="C188" s="4" t="inlineStr">
        <is>
          <t>12:00</t>
        </is>
      </c>
      <c r="D188" s="4" t="inlineStr">
        <is>
          <t>Sí</t>
        </is>
      </c>
      <c r="E188" s="4" t="n"/>
      <c r="F188" s="4" t="n"/>
      <c r="G188" s="4" t="n"/>
      <c r="H188" s="4" t="n"/>
      <c r="I188" s="4" t="n"/>
    </row>
    <row r="189">
      <c r="A189" s="6" t="inlineStr">
        <is>
          <t>2026-05-08</t>
        </is>
      </c>
      <c r="B189" s="6" t="inlineStr">
        <is>
          <t>Viernes</t>
        </is>
      </c>
      <c r="C189" s="6" t="inlineStr">
        <is>
          <t>15:00</t>
        </is>
      </c>
      <c r="D189" s="6" t="inlineStr">
        <is>
          <t>Sí</t>
        </is>
      </c>
      <c r="E189" s="6" t="n"/>
      <c r="F189" s="6" t="n"/>
      <c r="G189" s="6" t="n"/>
      <c r="H189" s="6" t="n"/>
      <c r="I189" s="6" t="n"/>
    </row>
    <row r="190">
      <c r="A190" s="4" t="inlineStr">
        <is>
          <t>2026-05-08</t>
        </is>
      </c>
      <c r="B190" s="4" t="inlineStr">
        <is>
          <t>Viernes</t>
        </is>
      </c>
      <c r="C190" s="4" t="inlineStr">
        <is>
          <t>15:45</t>
        </is>
      </c>
      <c r="D190" s="4" t="inlineStr">
        <is>
          <t>Sí</t>
        </is>
      </c>
      <c r="E190" s="4" t="n"/>
      <c r="F190" s="4" t="n"/>
      <c r="G190" s="4" t="n"/>
      <c r="H190" s="4" t="n"/>
      <c r="I190" s="4" t="n"/>
    </row>
    <row r="191">
      <c r="A191" s="6" t="inlineStr">
        <is>
          <t>2026-05-08</t>
        </is>
      </c>
      <c r="B191" s="6" t="inlineStr">
        <is>
          <t>Viernes</t>
        </is>
      </c>
      <c r="C191" s="6" t="inlineStr">
        <is>
          <t>16:30</t>
        </is>
      </c>
      <c r="D191" s="6" t="inlineStr">
        <is>
          <t>Sí</t>
        </is>
      </c>
      <c r="E191" s="6" t="n"/>
      <c r="F191" s="6" t="n"/>
      <c r="G191" s="6" t="n"/>
      <c r="H191" s="6" t="n"/>
      <c r="I191" s="6" t="n"/>
    </row>
    <row r="192">
      <c r="A192" s="4" t="inlineStr">
        <is>
          <t>2026-05-08</t>
        </is>
      </c>
      <c r="B192" s="4" t="inlineStr">
        <is>
          <t>Viernes</t>
        </is>
      </c>
      <c r="C192" s="4" t="inlineStr">
        <is>
          <t>17:15</t>
        </is>
      </c>
      <c r="D192" s="4" t="inlineStr">
        <is>
          <t>Sí</t>
        </is>
      </c>
      <c r="E192" s="4" t="n"/>
      <c r="F192" s="4" t="n"/>
      <c r="G192" s="4" t="n"/>
      <c r="H192" s="4" t="n"/>
      <c r="I192" s="4" t="n"/>
    </row>
    <row r="193">
      <c r="A193" s="6" t="inlineStr">
        <is>
          <t>2026-05-11</t>
        </is>
      </c>
      <c r="B193" s="6" t="inlineStr">
        <is>
          <t>Lunes</t>
        </is>
      </c>
      <c r="C193" s="6" t="inlineStr">
        <is>
          <t>09:00</t>
        </is>
      </c>
      <c r="D193" s="6" t="inlineStr">
        <is>
          <t>Sí</t>
        </is>
      </c>
      <c r="E193" s="6" t="n"/>
      <c r="F193" s="6" t="n"/>
      <c r="G193" s="6" t="n"/>
      <c r="H193" s="6" t="n"/>
      <c r="I193" s="6" t="n"/>
    </row>
    <row r="194">
      <c r="A194" s="4" t="inlineStr">
        <is>
          <t>2026-05-11</t>
        </is>
      </c>
      <c r="B194" s="4" t="inlineStr">
        <is>
          <t>Lunes</t>
        </is>
      </c>
      <c r="C194" s="4" t="inlineStr">
        <is>
          <t>09:45</t>
        </is>
      </c>
      <c r="D194" s="4" t="inlineStr">
        <is>
          <t>Sí</t>
        </is>
      </c>
      <c r="E194" s="4" t="n"/>
      <c r="F194" s="4" t="n"/>
      <c r="G194" s="4" t="n"/>
      <c r="H194" s="4" t="n"/>
      <c r="I194" s="4" t="n"/>
    </row>
    <row r="195">
      <c r="A195" s="6" t="inlineStr">
        <is>
          <t>2026-05-11</t>
        </is>
      </c>
      <c r="B195" s="6" t="inlineStr">
        <is>
          <t>Lunes</t>
        </is>
      </c>
      <c r="C195" s="6" t="inlineStr">
        <is>
          <t>10:30</t>
        </is>
      </c>
      <c r="D195" s="6" t="inlineStr">
        <is>
          <t>Sí</t>
        </is>
      </c>
      <c r="E195" s="6" t="n"/>
      <c r="F195" s="6" t="n"/>
      <c r="G195" s="6" t="n"/>
      <c r="H195" s="6" t="n"/>
      <c r="I195" s="6" t="n"/>
    </row>
    <row r="196">
      <c r="A196" s="4" t="inlineStr">
        <is>
          <t>2026-05-11</t>
        </is>
      </c>
      <c r="B196" s="4" t="inlineStr">
        <is>
          <t>Lunes</t>
        </is>
      </c>
      <c r="C196" s="4" t="inlineStr">
        <is>
          <t>11:15</t>
        </is>
      </c>
      <c r="D196" s="4" t="inlineStr">
        <is>
          <t>Sí</t>
        </is>
      </c>
      <c r="E196" s="4" t="n"/>
      <c r="F196" s="4" t="n"/>
      <c r="G196" s="4" t="n"/>
      <c r="H196" s="4" t="n"/>
      <c r="I196" s="4" t="n"/>
    </row>
    <row r="197">
      <c r="A197" s="6" t="inlineStr">
        <is>
          <t>2026-05-11</t>
        </is>
      </c>
      <c r="B197" s="6" t="inlineStr">
        <is>
          <t>Lunes</t>
        </is>
      </c>
      <c r="C197" s="6" t="inlineStr">
        <is>
          <t>12:00</t>
        </is>
      </c>
      <c r="D197" s="6" t="inlineStr">
        <is>
          <t>Sí</t>
        </is>
      </c>
      <c r="E197" s="6" t="n"/>
      <c r="F197" s="6" t="n"/>
      <c r="G197" s="6" t="n"/>
      <c r="H197" s="6" t="n"/>
      <c r="I197" s="6" t="n"/>
    </row>
    <row r="198">
      <c r="A198" s="4" t="inlineStr">
        <is>
          <t>2026-05-11</t>
        </is>
      </c>
      <c r="B198" s="4" t="inlineStr">
        <is>
          <t>Lunes</t>
        </is>
      </c>
      <c r="C198" s="4" t="inlineStr">
        <is>
          <t>15:00</t>
        </is>
      </c>
      <c r="D198" s="4" t="inlineStr">
        <is>
          <t>Sí</t>
        </is>
      </c>
      <c r="E198" s="4" t="n"/>
      <c r="F198" s="4" t="n"/>
      <c r="G198" s="4" t="n"/>
      <c r="H198" s="4" t="n"/>
      <c r="I198" s="4" t="n"/>
    </row>
    <row r="199">
      <c r="A199" s="6" t="inlineStr">
        <is>
          <t>2026-05-11</t>
        </is>
      </c>
      <c r="B199" s="6" t="inlineStr">
        <is>
          <t>Lunes</t>
        </is>
      </c>
      <c r="C199" s="6" t="inlineStr">
        <is>
          <t>15:45</t>
        </is>
      </c>
      <c r="D199" s="6" t="inlineStr">
        <is>
          <t>Sí</t>
        </is>
      </c>
      <c r="E199" s="6" t="n"/>
      <c r="F199" s="6" t="n"/>
      <c r="G199" s="6" t="n"/>
      <c r="H199" s="6" t="n"/>
      <c r="I199" s="6" t="n"/>
    </row>
    <row r="200">
      <c r="A200" s="4" t="inlineStr">
        <is>
          <t>2026-05-11</t>
        </is>
      </c>
      <c r="B200" s="4" t="inlineStr">
        <is>
          <t>Lunes</t>
        </is>
      </c>
      <c r="C200" s="4" t="inlineStr">
        <is>
          <t>16:30</t>
        </is>
      </c>
      <c r="D200" s="4" t="inlineStr">
        <is>
          <t>Sí</t>
        </is>
      </c>
      <c r="E200" s="4" t="n"/>
      <c r="F200" s="4" t="n"/>
      <c r="G200" s="4" t="n"/>
      <c r="H200" s="4" t="n"/>
      <c r="I200" s="4" t="n"/>
    </row>
  </sheetData>
  <mergeCells count="2">
    <mergeCell ref="A1:I1"/>
    <mergeCell ref="A2:I2"/>
  </mergeCells>
  <dataValidations count="2">
    <dataValidation sqref="D4:D500" showDropDown="0" showInputMessage="0" showErrorMessage="0" allowBlank="1" type="list">
      <formula1>"Sí,No"</formula1>
    </dataValidation>
    <dataValidation sqref="G4:G500" showDropDown="0" showInputMessage="0" showErrorMessage="0" allowBlank="1" type="list">
      <formula1>"Vacaciones,Feriado,Personal,Reservado,Otro"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980B9"/>
    <outlinePr summaryBelow="1" summaryRight="1"/>
    <pageSetUpPr/>
  </sheetPr>
  <dimension ref="A1:K5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10" customWidth="1" min="4" max="4"/>
    <col width="10" customWidth="1" min="5" max="5"/>
    <col width="16" customWidth="1" min="6" max="6"/>
    <col width="24" customWidth="1" min="7" max="7"/>
    <col width="22" customWidth="1" min="8" max="8"/>
    <col width="18" customWidth="1" min="9" max="9"/>
    <col width="16" customWidth="1" min="10" max="10"/>
    <col width="28" customWidth="1" min="11" max="11"/>
  </cols>
  <sheetData>
    <row r="1" ht="36" customHeight="1">
      <c r="A1" s="40" t="inlineStr">
        <is>
          <t>📹 Registro de Videollamadas — Jitsi Meet</t>
        </is>
      </c>
    </row>
    <row r="2">
      <c r="A2" s="41" t="inlineStr">
        <is>
          <t>Log de sesiones de telemedicina — sala, duración, estado de conexión</t>
        </is>
      </c>
    </row>
    <row r="3" ht="30" customHeight="1">
      <c r="A3" s="42" t="inlineStr">
        <is>
          <t>Ticket</t>
        </is>
      </c>
      <c r="B3" s="42" t="inlineStr">
        <is>
          <t>Nombre Paciente</t>
        </is>
      </c>
      <c r="C3" s="42" t="inlineStr">
        <is>
          <t>Fecha</t>
        </is>
      </c>
      <c r="D3" s="42" t="inlineStr">
        <is>
          <t>Hora Inicio</t>
        </is>
      </c>
      <c r="E3" s="42" t="inlineStr">
        <is>
          <t>Hora Fin</t>
        </is>
      </c>
      <c r="F3" s="42" t="inlineStr">
        <is>
          <t>Duración Real (min)</t>
        </is>
      </c>
      <c r="G3" s="42" t="inlineStr">
        <is>
          <t>Sala Jitsi</t>
        </is>
      </c>
      <c r="H3" s="42" t="inlineStr">
        <is>
          <t>Estado Llamada</t>
        </is>
      </c>
      <c r="I3" s="42" t="inlineStr">
        <is>
          <t>Grabación Disponible</t>
        </is>
      </c>
      <c r="J3" s="42" t="inlineStr">
        <is>
          <t>Calidad Conexión</t>
        </is>
      </c>
      <c r="K3" s="42" t="inlineStr">
        <is>
          <t>Notas</t>
        </is>
      </c>
    </row>
    <row r="4">
      <c r="A4" s="4" t="n"/>
      <c r="B4" s="4" t="n"/>
      <c r="C4" s="4" t="n"/>
      <c r="D4" s="4" t="n"/>
      <c r="E4" s="4" t="n"/>
      <c r="F4" s="5">
        <f>IF(AND(D4&lt;&gt;"",E4&lt;&gt;""),ROUND((E4-D4)*1440,0),"")</f>
        <v/>
      </c>
      <c r="G4" s="4" t="n"/>
      <c r="H4" s="4" t="n"/>
      <c r="I4" s="4" t="n"/>
      <c r="J4" s="4" t="n"/>
      <c r="K4" s="4" t="n"/>
    </row>
    <row r="5">
      <c r="A5" s="6" t="n"/>
      <c r="B5" s="6" t="n"/>
      <c r="C5" s="6" t="n"/>
      <c r="D5" s="6" t="n"/>
      <c r="E5" s="6" t="n"/>
      <c r="F5" s="7">
        <f>IF(AND(D5&lt;&gt;"",E5&lt;&gt;""),ROUND((E5-D5)*1440,0),"")</f>
        <v/>
      </c>
      <c r="G5" s="6" t="n"/>
      <c r="H5" s="6" t="n"/>
      <c r="I5" s="6" t="n"/>
      <c r="J5" s="6" t="n"/>
      <c r="K5" s="6" t="n"/>
    </row>
    <row r="6">
      <c r="A6" s="4" t="n"/>
      <c r="B6" s="4" t="n"/>
      <c r="C6" s="4" t="n"/>
      <c r="D6" s="4" t="n"/>
      <c r="E6" s="4" t="n"/>
      <c r="F6" s="5">
        <f>IF(AND(D6&lt;&gt;"",E6&lt;&gt;""),ROUND((E6-D6)*1440,0),"")</f>
        <v/>
      </c>
      <c r="G6" s="4" t="n"/>
      <c r="H6" s="4" t="n"/>
      <c r="I6" s="4" t="n"/>
      <c r="J6" s="4" t="n"/>
      <c r="K6" s="4" t="n"/>
    </row>
    <row r="7">
      <c r="A7" s="6" t="n"/>
      <c r="B7" s="6" t="n"/>
      <c r="C7" s="6" t="n"/>
      <c r="D7" s="6" t="n"/>
      <c r="E7" s="6" t="n"/>
      <c r="F7" s="7">
        <f>IF(AND(D7&lt;&gt;"",E7&lt;&gt;""),ROUND((E7-D7)*1440,0),"")</f>
        <v/>
      </c>
      <c r="G7" s="6" t="n"/>
      <c r="H7" s="6" t="n"/>
      <c r="I7" s="6" t="n"/>
      <c r="J7" s="6" t="n"/>
      <c r="K7" s="6" t="n"/>
    </row>
    <row r="8">
      <c r="A8" s="4" t="n"/>
      <c r="B8" s="4" t="n"/>
      <c r="C8" s="4" t="n"/>
      <c r="D8" s="4" t="n"/>
      <c r="E8" s="4" t="n"/>
      <c r="F8" s="5">
        <f>IF(AND(D8&lt;&gt;"",E8&lt;&gt;""),ROUND((E8-D8)*1440,0),"")</f>
        <v/>
      </c>
      <c r="G8" s="4" t="n"/>
      <c r="H8" s="4" t="n"/>
      <c r="I8" s="4" t="n"/>
      <c r="J8" s="4" t="n"/>
      <c r="K8" s="4" t="n"/>
    </row>
    <row r="9">
      <c r="A9" s="6" t="n"/>
      <c r="B9" s="6" t="n"/>
      <c r="C9" s="6" t="n"/>
      <c r="D9" s="6" t="n"/>
      <c r="E9" s="6" t="n"/>
      <c r="F9" s="7">
        <f>IF(AND(D9&lt;&gt;"",E9&lt;&gt;""),ROUND((E9-D9)*1440,0),"")</f>
        <v/>
      </c>
      <c r="G9" s="6" t="n"/>
      <c r="H9" s="6" t="n"/>
      <c r="I9" s="6" t="n"/>
      <c r="J9" s="6" t="n"/>
      <c r="K9" s="6" t="n"/>
    </row>
    <row r="10">
      <c r="A10" s="4" t="n"/>
      <c r="B10" s="4" t="n"/>
      <c r="C10" s="4" t="n"/>
      <c r="D10" s="4" t="n"/>
      <c r="E10" s="4" t="n"/>
      <c r="F10" s="5">
        <f>IF(AND(D10&lt;&gt;"",E10&lt;&gt;""),ROUND((E10-D10)*1440,0),"")</f>
        <v/>
      </c>
      <c r="G10" s="4" t="n"/>
      <c r="H10" s="4" t="n"/>
      <c r="I10" s="4" t="n"/>
      <c r="J10" s="4" t="n"/>
      <c r="K10" s="4" t="n"/>
    </row>
    <row r="11">
      <c r="A11" s="6" t="n"/>
      <c r="B11" s="6" t="n"/>
      <c r="C11" s="6" t="n"/>
      <c r="D11" s="6" t="n"/>
      <c r="E11" s="6" t="n"/>
      <c r="F11" s="7">
        <f>IF(AND(D11&lt;&gt;"",E11&lt;&gt;""),ROUND((E11-D11)*1440,0),"")</f>
        <v/>
      </c>
      <c r="G11" s="6" t="n"/>
      <c r="H11" s="6" t="n"/>
      <c r="I11" s="6" t="n"/>
      <c r="J11" s="6" t="n"/>
      <c r="K11" s="6" t="n"/>
    </row>
    <row r="12">
      <c r="A12" s="4" t="n"/>
      <c r="B12" s="4" t="n"/>
      <c r="C12" s="4" t="n"/>
      <c r="D12" s="4" t="n"/>
      <c r="E12" s="4" t="n"/>
      <c r="F12" s="5">
        <f>IF(AND(D12&lt;&gt;"",E12&lt;&gt;""),ROUND((E12-D12)*1440,0),"")</f>
        <v/>
      </c>
      <c r="G12" s="4" t="n"/>
      <c r="H12" s="4" t="n"/>
      <c r="I12" s="4" t="n"/>
      <c r="J12" s="4" t="n"/>
      <c r="K12" s="4" t="n"/>
    </row>
    <row r="13">
      <c r="A13" s="6" t="n"/>
      <c r="B13" s="6" t="n"/>
      <c r="C13" s="6" t="n"/>
      <c r="D13" s="6" t="n"/>
      <c r="E13" s="6" t="n"/>
      <c r="F13" s="7">
        <f>IF(AND(D13&lt;&gt;"",E13&lt;&gt;""),ROUND((E13-D13)*1440,0),"")</f>
        <v/>
      </c>
      <c r="G13" s="6" t="n"/>
      <c r="H13" s="6" t="n"/>
      <c r="I13" s="6" t="n"/>
      <c r="J13" s="6" t="n"/>
      <c r="K13" s="6" t="n"/>
    </row>
    <row r="14">
      <c r="A14" s="4" t="n"/>
      <c r="B14" s="4" t="n"/>
      <c r="C14" s="4" t="n"/>
      <c r="D14" s="4" t="n"/>
      <c r="E14" s="4" t="n"/>
      <c r="F14" s="5">
        <f>IF(AND(D14&lt;&gt;"",E14&lt;&gt;""),ROUND((E14-D14)*1440,0),"")</f>
        <v/>
      </c>
      <c r="G14" s="4" t="n"/>
      <c r="H14" s="4" t="n"/>
      <c r="I14" s="4" t="n"/>
      <c r="J14" s="4" t="n"/>
      <c r="K14" s="4" t="n"/>
    </row>
    <row r="15">
      <c r="A15" s="6" t="n"/>
      <c r="B15" s="6" t="n"/>
      <c r="C15" s="6" t="n"/>
      <c r="D15" s="6" t="n"/>
      <c r="E15" s="6" t="n"/>
      <c r="F15" s="7">
        <f>IF(AND(D15&lt;&gt;"",E15&lt;&gt;""),ROUND((E15-D15)*1440,0),"")</f>
        <v/>
      </c>
      <c r="G15" s="6" t="n"/>
      <c r="H15" s="6" t="n"/>
      <c r="I15" s="6" t="n"/>
      <c r="J15" s="6" t="n"/>
      <c r="K15" s="6" t="n"/>
    </row>
    <row r="16">
      <c r="A16" s="4" t="n"/>
      <c r="B16" s="4" t="n"/>
      <c r="C16" s="4" t="n"/>
      <c r="D16" s="4" t="n"/>
      <c r="E16" s="4" t="n"/>
      <c r="F16" s="5">
        <f>IF(AND(D16&lt;&gt;"",E16&lt;&gt;""),ROUND((E16-D16)*1440,0),"")</f>
        <v/>
      </c>
      <c r="G16" s="4" t="n"/>
      <c r="H16" s="4" t="n"/>
      <c r="I16" s="4" t="n"/>
      <c r="J16" s="4" t="n"/>
      <c r="K16" s="4" t="n"/>
    </row>
    <row r="17">
      <c r="A17" s="6" t="n"/>
      <c r="B17" s="6" t="n"/>
      <c r="C17" s="6" t="n"/>
      <c r="D17" s="6" t="n"/>
      <c r="E17" s="6" t="n"/>
      <c r="F17" s="7">
        <f>IF(AND(D17&lt;&gt;"",E17&lt;&gt;""),ROUND((E17-D17)*1440,0),"")</f>
        <v/>
      </c>
      <c r="G17" s="6" t="n"/>
      <c r="H17" s="6" t="n"/>
      <c r="I17" s="6" t="n"/>
      <c r="J17" s="6" t="n"/>
      <c r="K17" s="6" t="n"/>
    </row>
    <row r="18">
      <c r="A18" s="4" t="n"/>
      <c r="B18" s="4" t="n"/>
      <c r="C18" s="4" t="n"/>
      <c r="D18" s="4" t="n"/>
      <c r="E18" s="4" t="n"/>
      <c r="F18" s="5">
        <f>IF(AND(D18&lt;&gt;"",E18&lt;&gt;""),ROUND((E18-D18)*1440,0),"")</f>
        <v/>
      </c>
      <c r="G18" s="4" t="n"/>
      <c r="H18" s="4" t="n"/>
      <c r="I18" s="4" t="n"/>
      <c r="J18" s="4" t="n"/>
      <c r="K18" s="4" t="n"/>
    </row>
    <row r="19">
      <c r="A19" s="6" t="n"/>
      <c r="B19" s="6" t="n"/>
      <c r="C19" s="6" t="n"/>
      <c r="D19" s="6" t="n"/>
      <c r="E19" s="6" t="n"/>
      <c r="F19" s="7">
        <f>IF(AND(D19&lt;&gt;"",E19&lt;&gt;""),ROUND((E19-D19)*1440,0),"")</f>
        <v/>
      </c>
      <c r="G19" s="6" t="n"/>
      <c r="H19" s="6" t="n"/>
      <c r="I19" s="6" t="n"/>
      <c r="J19" s="6" t="n"/>
      <c r="K19" s="6" t="n"/>
    </row>
    <row r="20">
      <c r="A20" s="4" t="n"/>
      <c r="B20" s="4" t="n"/>
      <c r="C20" s="4" t="n"/>
      <c r="D20" s="4" t="n"/>
      <c r="E20" s="4" t="n"/>
      <c r="F20" s="5">
        <f>IF(AND(D20&lt;&gt;"",E20&lt;&gt;""),ROUND((E20-D20)*1440,0),"")</f>
        <v/>
      </c>
      <c r="G20" s="4" t="n"/>
      <c r="H20" s="4" t="n"/>
      <c r="I20" s="4" t="n"/>
      <c r="J20" s="4" t="n"/>
      <c r="K20" s="4" t="n"/>
    </row>
    <row r="21">
      <c r="A21" s="6" t="n"/>
      <c r="B21" s="6" t="n"/>
      <c r="C21" s="6" t="n"/>
      <c r="D21" s="6" t="n"/>
      <c r="E21" s="6" t="n"/>
      <c r="F21" s="7">
        <f>IF(AND(D21&lt;&gt;"",E21&lt;&gt;""),ROUND((E21-D21)*1440,0),"")</f>
        <v/>
      </c>
      <c r="G21" s="6" t="n"/>
      <c r="H21" s="6" t="n"/>
      <c r="I21" s="6" t="n"/>
      <c r="J21" s="6" t="n"/>
      <c r="K21" s="6" t="n"/>
    </row>
    <row r="22">
      <c r="A22" s="4" t="n"/>
      <c r="B22" s="4" t="n"/>
      <c r="C22" s="4" t="n"/>
      <c r="D22" s="4" t="n"/>
      <c r="E22" s="4" t="n"/>
      <c r="F22" s="5">
        <f>IF(AND(D22&lt;&gt;"",E22&lt;&gt;""),ROUND((E22-D22)*1440,0),"")</f>
        <v/>
      </c>
      <c r="G22" s="4" t="n"/>
      <c r="H22" s="4" t="n"/>
      <c r="I22" s="4" t="n"/>
      <c r="J22" s="4" t="n"/>
      <c r="K22" s="4" t="n"/>
    </row>
    <row r="23">
      <c r="A23" s="6" t="n"/>
      <c r="B23" s="6" t="n"/>
      <c r="C23" s="6" t="n"/>
      <c r="D23" s="6" t="n"/>
      <c r="E23" s="6" t="n"/>
      <c r="F23" s="7">
        <f>IF(AND(D23&lt;&gt;"",E23&lt;&gt;""),ROUND((E23-D23)*1440,0),"")</f>
        <v/>
      </c>
      <c r="G23" s="6" t="n"/>
      <c r="H23" s="6" t="n"/>
      <c r="I23" s="6" t="n"/>
      <c r="J23" s="6" t="n"/>
      <c r="K23" s="6" t="n"/>
    </row>
    <row r="24">
      <c r="A24" s="4" t="n"/>
      <c r="B24" s="4" t="n"/>
      <c r="C24" s="4" t="n"/>
      <c r="D24" s="4" t="n"/>
      <c r="E24" s="4" t="n"/>
      <c r="F24" s="5">
        <f>IF(AND(D24&lt;&gt;"",E24&lt;&gt;""),ROUND((E24-D24)*1440,0),"")</f>
        <v/>
      </c>
      <c r="G24" s="4" t="n"/>
      <c r="H24" s="4" t="n"/>
      <c r="I24" s="4" t="n"/>
      <c r="J24" s="4" t="n"/>
      <c r="K24" s="4" t="n"/>
    </row>
    <row r="25">
      <c r="A25" s="6" t="n"/>
      <c r="B25" s="6" t="n"/>
      <c r="C25" s="6" t="n"/>
      <c r="D25" s="6" t="n"/>
      <c r="E25" s="6" t="n"/>
      <c r="F25" s="7">
        <f>IF(AND(D25&lt;&gt;"",E25&lt;&gt;""),ROUND((E25-D25)*1440,0),"")</f>
        <v/>
      </c>
      <c r="G25" s="6" t="n"/>
      <c r="H25" s="6" t="n"/>
      <c r="I25" s="6" t="n"/>
      <c r="J25" s="6" t="n"/>
      <c r="K25" s="6" t="n"/>
    </row>
    <row r="26">
      <c r="A26" s="4" t="n"/>
      <c r="B26" s="4" t="n"/>
      <c r="C26" s="4" t="n"/>
      <c r="D26" s="4" t="n"/>
      <c r="E26" s="4" t="n"/>
      <c r="F26" s="5">
        <f>IF(AND(D26&lt;&gt;"",E26&lt;&gt;""),ROUND((E26-D26)*1440,0),"")</f>
        <v/>
      </c>
      <c r="G26" s="4" t="n"/>
      <c r="H26" s="4" t="n"/>
      <c r="I26" s="4" t="n"/>
      <c r="J26" s="4" t="n"/>
      <c r="K26" s="4" t="n"/>
    </row>
    <row r="27">
      <c r="A27" s="6" t="n"/>
      <c r="B27" s="6" t="n"/>
      <c r="C27" s="6" t="n"/>
      <c r="D27" s="6" t="n"/>
      <c r="E27" s="6" t="n"/>
      <c r="F27" s="7">
        <f>IF(AND(D27&lt;&gt;"",E27&lt;&gt;""),ROUND((E27-D27)*1440,0),"")</f>
        <v/>
      </c>
      <c r="G27" s="6" t="n"/>
      <c r="H27" s="6" t="n"/>
      <c r="I27" s="6" t="n"/>
      <c r="J27" s="6" t="n"/>
      <c r="K27" s="6" t="n"/>
    </row>
    <row r="28">
      <c r="A28" s="4" t="n"/>
      <c r="B28" s="4" t="n"/>
      <c r="C28" s="4" t="n"/>
      <c r="D28" s="4" t="n"/>
      <c r="E28" s="4" t="n"/>
      <c r="F28" s="5">
        <f>IF(AND(D28&lt;&gt;"",E28&lt;&gt;""),ROUND((E28-D28)*1440,0),"")</f>
        <v/>
      </c>
      <c r="G28" s="4" t="n"/>
      <c r="H28" s="4" t="n"/>
      <c r="I28" s="4" t="n"/>
      <c r="J28" s="4" t="n"/>
      <c r="K28" s="4" t="n"/>
    </row>
    <row r="29">
      <c r="A29" s="6" t="n"/>
      <c r="B29" s="6" t="n"/>
      <c r="C29" s="6" t="n"/>
      <c r="D29" s="6" t="n"/>
      <c r="E29" s="6" t="n"/>
      <c r="F29" s="7">
        <f>IF(AND(D29&lt;&gt;"",E29&lt;&gt;""),ROUND((E29-D29)*1440,0),"")</f>
        <v/>
      </c>
      <c r="G29" s="6" t="n"/>
      <c r="H29" s="6" t="n"/>
      <c r="I29" s="6" t="n"/>
      <c r="J29" s="6" t="n"/>
      <c r="K29" s="6" t="n"/>
    </row>
    <row r="30">
      <c r="A30" s="4" t="n"/>
      <c r="B30" s="4" t="n"/>
      <c r="C30" s="4" t="n"/>
      <c r="D30" s="4" t="n"/>
      <c r="E30" s="4" t="n"/>
      <c r="F30" s="5">
        <f>IF(AND(D30&lt;&gt;"",E30&lt;&gt;""),ROUND((E30-D30)*1440,0),"")</f>
        <v/>
      </c>
      <c r="G30" s="4" t="n"/>
      <c r="H30" s="4" t="n"/>
      <c r="I30" s="4" t="n"/>
      <c r="J30" s="4" t="n"/>
      <c r="K30" s="4" t="n"/>
    </row>
    <row r="31">
      <c r="A31" s="6" t="n"/>
      <c r="B31" s="6" t="n"/>
      <c r="C31" s="6" t="n"/>
      <c r="D31" s="6" t="n"/>
      <c r="E31" s="6" t="n"/>
      <c r="F31" s="7">
        <f>IF(AND(D31&lt;&gt;"",E31&lt;&gt;""),ROUND((E31-D31)*1440,0),"")</f>
        <v/>
      </c>
      <c r="G31" s="6" t="n"/>
      <c r="H31" s="6" t="n"/>
      <c r="I31" s="6" t="n"/>
      <c r="J31" s="6" t="n"/>
      <c r="K31" s="6" t="n"/>
    </row>
    <row r="32">
      <c r="A32" s="4" t="n"/>
      <c r="B32" s="4" t="n"/>
      <c r="C32" s="4" t="n"/>
      <c r="D32" s="4" t="n"/>
      <c r="E32" s="4" t="n"/>
      <c r="F32" s="5">
        <f>IF(AND(D32&lt;&gt;"",E32&lt;&gt;""),ROUND((E32-D32)*1440,0),"")</f>
        <v/>
      </c>
      <c r="G32" s="4" t="n"/>
      <c r="H32" s="4" t="n"/>
      <c r="I32" s="4" t="n"/>
      <c r="J32" s="4" t="n"/>
      <c r="K32" s="4" t="n"/>
    </row>
    <row r="33">
      <c r="A33" s="6" t="n"/>
      <c r="B33" s="6" t="n"/>
      <c r="C33" s="6" t="n"/>
      <c r="D33" s="6" t="n"/>
      <c r="E33" s="6" t="n"/>
      <c r="F33" s="7">
        <f>IF(AND(D33&lt;&gt;"",E33&lt;&gt;""),ROUND((E33-D33)*1440,0),"")</f>
        <v/>
      </c>
      <c r="G33" s="6" t="n"/>
      <c r="H33" s="6" t="n"/>
      <c r="I33" s="6" t="n"/>
      <c r="J33" s="6" t="n"/>
      <c r="K33" s="6" t="n"/>
    </row>
    <row r="34">
      <c r="A34" s="4" t="n"/>
      <c r="B34" s="4" t="n"/>
      <c r="C34" s="4" t="n"/>
      <c r="D34" s="4" t="n"/>
      <c r="E34" s="4" t="n"/>
      <c r="F34" s="5">
        <f>IF(AND(D34&lt;&gt;"",E34&lt;&gt;""),ROUND((E34-D34)*1440,0),"")</f>
        <v/>
      </c>
      <c r="G34" s="4" t="n"/>
      <c r="H34" s="4" t="n"/>
      <c r="I34" s="4" t="n"/>
      <c r="J34" s="4" t="n"/>
      <c r="K34" s="4" t="n"/>
    </row>
    <row r="35">
      <c r="A35" s="6" t="n"/>
      <c r="B35" s="6" t="n"/>
      <c r="C35" s="6" t="n"/>
      <c r="D35" s="6" t="n"/>
      <c r="E35" s="6" t="n"/>
      <c r="F35" s="7">
        <f>IF(AND(D35&lt;&gt;"",E35&lt;&gt;""),ROUND((E35-D35)*1440,0),"")</f>
        <v/>
      </c>
      <c r="G35" s="6" t="n"/>
      <c r="H35" s="6" t="n"/>
      <c r="I35" s="6" t="n"/>
      <c r="J35" s="6" t="n"/>
      <c r="K35" s="6" t="n"/>
    </row>
    <row r="36">
      <c r="A36" s="4" t="n"/>
      <c r="B36" s="4" t="n"/>
      <c r="C36" s="4" t="n"/>
      <c r="D36" s="4" t="n"/>
      <c r="E36" s="4" t="n"/>
      <c r="F36" s="5">
        <f>IF(AND(D36&lt;&gt;"",E36&lt;&gt;""),ROUND((E36-D36)*1440,0),"")</f>
        <v/>
      </c>
      <c r="G36" s="4" t="n"/>
      <c r="H36" s="4" t="n"/>
      <c r="I36" s="4" t="n"/>
      <c r="J36" s="4" t="n"/>
      <c r="K36" s="4" t="n"/>
    </row>
    <row r="37">
      <c r="A37" s="6" t="n"/>
      <c r="B37" s="6" t="n"/>
      <c r="C37" s="6" t="n"/>
      <c r="D37" s="6" t="n"/>
      <c r="E37" s="6" t="n"/>
      <c r="F37" s="7">
        <f>IF(AND(D37&lt;&gt;"",E37&lt;&gt;""),ROUND((E37-D37)*1440,0),"")</f>
        <v/>
      </c>
      <c r="G37" s="6" t="n"/>
      <c r="H37" s="6" t="n"/>
      <c r="I37" s="6" t="n"/>
      <c r="J37" s="6" t="n"/>
      <c r="K37" s="6" t="n"/>
    </row>
    <row r="38">
      <c r="A38" s="4" t="n"/>
      <c r="B38" s="4" t="n"/>
      <c r="C38" s="4" t="n"/>
      <c r="D38" s="4" t="n"/>
      <c r="E38" s="4" t="n"/>
      <c r="F38" s="5">
        <f>IF(AND(D38&lt;&gt;"",E38&lt;&gt;""),ROUND((E38-D38)*1440,0),"")</f>
        <v/>
      </c>
      <c r="G38" s="4" t="n"/>
      <c r="H38" s="4" t="n"/>
      <c r="I38" s="4" t="n"/>
      <c r="J38" s="4" t="n"/>
      <c r="K38" s="4" t="n"/>
    </row>
    <row r="39">
      <c r="A39" s="6" t="n"/>
      <c r="B39" s="6" t="n"/>
      <c r="C39" s="6" t="n"/>
      <c r="D39" s="6" t="n"/>
      <c r="E39" s="6" t="n"/>
      <c r="F39" s="7">
        <f>IF(AND(D39&lt;&gt;"",E39&lt;&gt;""),ROUND((E39-D39)*1440,0),"")</f>
        <v/>
      </c>
      <c r="G39" s="6" t="n"/>
      <c r="H39" s="6" t="n"/>
      <c r="I39" s="6" t="n"/>
      <c r="J39" s="6" t="n"/>
      <c r="K39" s="6" t="n"/>
    </row>
    <row r="40">
      <c r="A40" s="4" t="n"/>
      <c r="B40" s="4" t="n"/>
      <c r="C40" s="4" t="n"/>
      <c r="D40" s="4" t="n"/>
      <c r="E40" s="4" t="n"/>
      <c r="F40" s="5">
        <f>IF(AND(D40&lt;&gt;"",E40&lt;&gt;""),ROUND((E40-D40)*1440,0),"")</f>
        <v/>
      </c>
      <c r="G40" s="4" t="n"/>
      <c r="H40" s="4" t="n"/>
      <c r="I40" s="4" t="n"/>
      <c r="J40" s="4" t="n"/>
      <c r="K40" s="4" t="n"/>
    </row>
    <row r="41">
      <c r="A41" s="6" t="n"/>
      <c r="B41" s="6" t="n"/>
      <c r="C41" s="6" t="n"/>
      <c r="D41" s="6" t="n"/>
      <c r="E41" s="6" t="n"/>
      <c r="F41" s="7">
        <f>IF(AND(D41&lt;&gt;"",E41&lt;&gt;""),ROUND((E41-D41)*1440,0),"")</f>
        <v/>
      </c>
      <c r="G41" s="6" t="n"/>
      <c r="H41" s="6" t="n"/>
      <c r="I41" s="6" t="n"/>
      <c r="J41" s="6" t="n"/>
      <c r="K41" s="6" t="n"/>
    </row>
    <row r="42">
      <c r="A42" s="4" t="n"/>
      <c r="B42" s="4" t="n"/>
      <c r="C42" s="4" t="n"/>
      <c r="D42" s="4" t="n"/>
      <c r="E42" s="4" t="n"/>
      <c r="F42" s="5">
        <f>IF(AND(D42&lt;&gt;"",E42&lt;&gt;""),ROUND((E42-D42)*1440,0),"")</f>
        <v/>
      </c>
      <c r="G42" s="4" t="n"/>
      <c r="H42" s="4" t="n"/>
      <c r="I42" s="4" t="n"/>
      <c r="J42" s="4" t="n"/>
      <c r="K42" s="4" t="n"/>
    </row>
    <row r="43">
      <c r="A43" s="6" t="n"/>
      <c r="B43" s="6" t="n"/>
      <c r="C43" s="6" t="n"/>
      <c r="D43" s="6" t="n"/>
      <c r="E43" s="6" t="n"/>
      <c r="F43" s="7">
        <f>IF(AND(D43&lt;&gt;"",E43&lt;&gt;""),ROUND((E43-D43)*1440,0),"")</f>
        <v/>
      </c>
      <c r="G43" s="6" t="n"/>
      <c r="H43" s="6" t="n"/>
      <c r="I43" s="6" t="n"/>
      <c r="J43" s="6" t="n"/>
      <c r="K43" s="6" t="n"/>
    </row>
    <row r="44">
      <c r="A44" s="4" t="n"/>
      <c r="B44" s="4" t="n"/>
      <c r="C44" s="4" t="n"/>
      <c r="D44" s="4" t="n"/>
      <c r="E44" s="4" t="n"/>
      <c r="F44" s="5">
        <f>IF(AND(D44&lt;&gt;"",E44&lt;&gt;""),ROUND((E44-D44)*1440,0),"")</f>
        <v/>
      </c>
      <c r="G44" s="4" t="n"/>
      <c r="H44" s="4" t="n"/>
      <c r="I44" s="4" t="n"/>
      <c r="J44" s="4" t="n"/>
      <c r="K44" s="4" t="n"/>
    </row>
    <row r="45">
      <c r="A45" s="6" t="n"/>
      <c r="B45" s="6" t="n"/>
      <c r="C45" s="6" t="n"/>
      <c r="D45" s="6" t="n"/>
      <c r="E45" s="6" t="n"/>
      <c r="F45" s="7">
        <f>IF(AND(D45&lt;&gt;"",E45&lt;&gt;""),ROUND((E45-D45)*1440,0),"")</f>
        <v/>
      </c>
      <c r="G45" s="6" t="n"/>
      <c r="H45" s="6" t="n"/>
      <c r="I45" s="6" t="n"/>
      <c r="J45" s="6" t="n"/>
      <c r="K45" s="6" t="n"/>
    </row>
    <row r="46">
      <c r="A46" s="4" t="n"/>
      <c r="B46" s="4" t="n"/>
      <c r="C46" s="4" t="n"/>
      <c r="D46" s="4" t="n"/>
      <c r="E46" s="4" t="n"/>
      <c r="F46" s="5">
        <f>IF(AND(D46&lt;&gt;"",E46&lt;&gt;""),ROUND((E46-D46)*1440,0),"")</f>
        <v/>
      </c>
      <c r="G46" s="4" t="n"/>
      <c r="H46" s="4" t="n"/>
      <c r="I46" s="4" t="n"/>
      <c r="J46" s="4" t="n"/>
      <c r="K46" s="4" t="n"/>
    </row>
    <row r="47">
      <c r="A47" s="6" t="n"/>
      <c r="B47" s="6" t="n"/>
      <c r="C47" s="6" t="n"/>
      <c r="D47" s="6" t="n"/>
      <c r="E47" s="6" t="n"/>
      <c r="F47" s="7">
        <f>IF(AND(D47&lt;&gt;"",E47&lt;&gt;""),ROUND((E47-D47)*1440,0),"")</f>
        <v/>
      </c>
      <c r="G47" s="6" t="n"/>
      <c r="H47" s="6" t="n"/>
      <c r="I47" s="6" t="n"/>
      <c r="J47" s="6" t="n"/>
      <c r="K47" s="6" t="n"/>
    </row>
    <row r="48">
      <c r="A48" s="4" t="n"/>
      <c r="B48" s="4" t="n"/>
      <c r="C48" s="4" t="n"/>
      <c r="D48" s="4" t="n"/>
      <c r="E48" s="4" t="n"/>
      <c r="F48" s="5">
        <f>IF(AND(D48&lt;&gt;"",E48&lt;&gt;""),ROUND((E48-D48)*1440,0),"")</f>
        <v/>
      </c>
      <c r="G48" s="4" t="n"/>
      <c r="H48" s="4" t="n"/>
      <c r="I48" s="4" t="n"/>
      <c r="J48" s="4" t="n"/>
      <c r="K48" s="4" t="n"/>
    </row>
    <row r="49">
      <c r="A49" s="6" t="n"/>
      <c r="B49" s="6" t="n"/>
      <c r="C49" s="6" t="n"/>
      <c r="D49" s="6" t="n"/>
      <c r="E49" s="6" t="n"/>
      <c r="F49" s="7">
        <f>IF(AND(D49&lt;&gt;"",E49&lt;&gt;""),ROUND((E49-D49)*1440,0),"")</f>
        <v/>
      </c>
      <c r="G49" s="6" t="n"/>
      <c r="H49" s="6" t="n"/>
      <c r="I49" s="6" t="n"/>
      <c r="J49" s="6" t="n"/>
      <c r="K49" s="6" t="n"/>
    </row>
    <row r="50">
      <c r="A50" s="4" t="n"/>
      <c r="B50" s="4" t="n"/>
      <c r="C50" s="4" t="n"/>
      <c r="D50" s="4" t="n"/>
      <c r="E50" s="4" t="n"/>
      <c r="F50" s="5">
        <f>IF(AND(D50&lt;&gt;"",E50&lt;&gt;""),ROUND((E50-D50)*1440,0),"")</f>
        <v/>
      </c>
      <c r="G50" s="4" t="n"/>
      <c r="H50" s="4" t="n"/>
      <c r="I50" s="4" t="n"/>
      <c r="J50" s="4" t="n"/>
      <c r="K50" s="4" t="n"/>
    </row>
    <row r="51">
      <c r="A51" s="6" t="n"/>
      <c r="B51" s="6" t="n"/>
      <c r="C51" s="6" t="n"/>
      <c r="D51" s="6" t="n"/>
      <c r="E51" s="6" t="n"/>
      <c r="F51" s="7">
        <f>IF(AND(D51&lt;&gt;"",E51&lt;&gt;""),ROUND((E51-D51)*1440,0),"")</f>
        <v/>
      </c>
      <c r="G51" s="6" t="n"/>
      <c r="H51" s="6" t="n"/>
      <c r="I51" s="6" t="n"/>
      <c r="J51" s="6" t="n"/>
      <c r="K51" s="6" t="n"/>
    </row>
    <row r="52">
      <c r="A52" s="4" t="n"/>
      <c r="B52" s="4" t="n"/>
      <c r="C52" s="4" t="n"/>
      <c r="D52" s="4" t="n"/>
      <c r="E52" s="4" t="n"/>
      <c r="F52" s="5">
        <f>IF(AND(D52&lt;&gt;"",E52&lt;&gt;""),ROUND((E52-D52)*1440,0),"")</f>
        <v/>
      </c>
      <c r="G52" s="4" t="n"/>
      <c r="H52" s="4" t="n"/>
      <c r="I52" s="4" t="n"/>
      <c r="J52" s="4" t="n"/>
      <c r="K52" s="4" t="n"/>
    </row>
    <row r="53">
      <c r="A53" s="6" t="n"/>
      <c r="B53" s="6" t="n"/>
      <c r="C53" s="6" t="n"/>
      <c r="D53" s="6" t="n"/>
      <c r="E53" s="6" t="n"/>
      <c r="F53" s="7">
        <f>IF(AND(D53&lt;&gt;"",E53&lt;&gt;""),ROUND((E53-D53)*1440,0),"")</f>
        <v/>
      </c>
      <c r="G53" s="6" t="n"/>
      <c r="H53" s="6" t="n"/>
      <c r="I53" s="6" t="n"/>
      <c r="J53" s="6" t="n"/>
      <c r="K53" s="6" t="n"/>
    </row>
  </sheetData>
  <mergeCells count="2">
    <mergeCell ref="A2:K2"/>
    <mergeCell ref="A1:K1"/>
  </mergeCells>
  <dataValidations count="2">
    <dataValidation sqref="H4:H500" showDropDown="0" showInputMessage="0" showErrorMessage="0" allowBlank="1" type="list">
      <formula1>"Exitosa,Problemas técnicos,No se conectó paciente,No se conectó nutricionista,Cancelada"</formula1>
    </dataValidation>
    <dataValidation sqref="J4:J500" showDropDown="0" showInputMessage="0" showErrorMessage="0" allowBlank="1" type="list">
      <formula1>"Excelente,Buena,Regular,Mala"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D2459"/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" customWidth="1" min="3" max="3"/>
    <col width="30" customWidth="1" min="4" max="4"/>
    <col width="18" customWidth="1" min="5" max="5"/>
    <col width="4" customWidth="1" min="6" max="6"/>
    <col width="30" customWidth="1" min="7" max="7"/>
    <col width="18" customWidth="1" min="8" max="8"/>
    <col width="4" customWidth="1" min="9" max="9"/>
    <col width="30" customWidth="1" min="10" max="10"/>
    <col width="18" customWidth="1" min="11" max="11"/>
    <col width="4" customWidth="1" min="12" max="12"/>
  </cols>
  <sheetData>
    <row r="1" ht="48" customHeight="1">
      <c r="A1" s="43" t="inlineStr">
        <is>
          <t>📊  NutriAge · Dashboard de Métricas</t>
        </is>
      </c>
    </row>
    <row r="2">
      <c r="A2" s="44" t="inlineStr">
        <is>
          <t>Actualización automática — fórmulas vinculadas a hojas PACIENTES, CITAS y PAGOS</t>
        </is>
      </c>
    </row>
    <row r="3" ht="22" customHeight="1"/>
    <row r="4" ht="22" customHeight="1">
      <c r="A4" s="45" t="inlineStr">
        <is>
          <t>👥 PACIENTES</t>
        </is>
      </c>
      <c r="D4" s="46" t="inlineStr">
        <is>
          <t>📅 CITAS</t>
        </is>
      </c>
      <c r="G4" s="47" t="inlineStr">
        <is>
          <t>💰 INGRESOS</t>
        </is>
      </c>
      <c r="J4" s="48" t="inlineStr">
        <is>
          <t>📹 LLAMADAS</t>
        </is>
      </c>
    </row>
    <row r="5" ht="22" customHeight="1">
      <c r="A5" s="49" t="inlineStr">
        <is>
          <t>Total registrados</t>
        </is>
      </c>
      <c r="B5" s="50">
        <f>COUNTA(PACIENTES!A4:A500)</f>
        <v/>
      </c>
      <c r="D5" s="49" t="inlineStr">
        <is>
          <t>Total citas</t>
        </is>
      </c>
      <c r="E5" s="51">
        <f>COUNTA(CITAS!A4:A500)</f>
        <v/>
      </c>
      <c r="G5" s="49" t="inlineStr">
        <is>
          <t>Total verificado</t>
        </is>
      </c>
      <c r="H5" s="52">
        <f>SUMIF(PAGOS!F4:F500,"Verificado",PAGOS!D4:D500)</f>
        <v/>
      </c>
      <c r="J5" s="49" t="inlineStr">
        <is>
          <t>Total sesiones</t>
        </is>
      </c>
      <c r="K5" s="53">
        <f>COUNTA(VIDEOLLAMADAS!A4:A500)</f>
        <v/>
      </c>
    </row>
    <row r="6" ht="22" customHeight="1">
      <c r="A6" s="49" t="inlineStr">
        <is>
          <t>Nuevos este mes</t>
        </is>
      </c>
      <c r="B6" s="50">
        <f>COUNTIFS(PACIENTES!Q4:Q500,"&gt;="&amp;DATE(YEAR(TODAY()),MONTH(TODAY()),1))</f>
        <v/>
      </c>
      <c r="D6" s="49" t="inlineStr">
        <is>
          <t>Confirmadas</t>
        </is>
      </c>
      <c r="E6" s="51">
        <f>COUNTIF(CITAS!I4:I500,"Confirmado")</f>
        <v/>
      </c>
      <c r="G6" s="49" t="inlineStr">
        <is>
          <t>Total recibido</t>
        </is>
      </c>
      <c r="H6" s="52">
        <f>SUMIF(PAGOS!F4:F500,"Recibido",PAGOS!D4:D500)</f>
        <v/>
      </c>
      <c r="J6" s="49" t="inlineStr">
        <is>
          <t>Exitosas</t>
        </is>
      </c>
      <c r="K6" s="53">
        <f>COUNTIF(VIDEOLLAMADAS!H4:H500,"Exitosa")</f>
        <v/>
      </c>
    </row>
    <row r="7" ht="22" customHeight="1">
      <c r="A7" s="49" t="inlineStr">
        <is>
          <t>IMC promedio</t>
        </is>
      </c>
      <c r="B7" s="50">
        <f>IFERROR(AVERAGE(PACIENTES!J4:J500),"—")</f>
        <v/>
      </c>
      <c r="D7" s="49" t="inlineStr">
        <is>
          <t>Completadas</t>
        </is>
      </c>
      <c r="E7" s="51">
        <f>COUNTIF(CITAS!I4:I500,"Completado")</f>
        <v/>
      </c>
      <c r="G7" s="49" t="inlineStr">
        <is>
          <t>Pendiente cobro</t>
        </is>
      </c>
      <c r="H7" s="52">
        <f>COUNTIF(PAGOS!F4:F500,"Pendiente")*15000</f>
        <v/>
      </c>
      <c r="J7" s="49" t="inlineStr">
        <is>
          <t>Duración prom (min)</t>
        </is>
      </c>
      <c r="K7" s="53">
        <f>IFERROR(AVERAGE(VIDEOLLAMADAS!F4:F500),"—")</f>
        <v/>
      </c>
    </row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</sheetData>
  <mergeCells count="6">
    <mergeCell ref="A4:B4"/>
    <mergeCell ref="G4:H4"/>
    <mergeCell ref="A1:J1"/>
    <mergeCell ref="J4:K4"/>
    <mergeCell ref="D4:E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55555"/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60" customWidth="1" min="3" max="3"/>
  </cols>
  <sheetData>
    <row r="1" ht="44" customHeight="1">
      <c r="A1" s="54" t="inlineStr">
        <is>
          <t>⚙️ Configuración Google Apps Script</t>
        </is>
      </c>
    </row>
    <row r="3" ht="22" customHeight="1">
      <c r="A3" s="55" t="inlineStr">
        <is>
          <t>PARÁMETRO</t>
        </is>
      </c>
      <c r="B3" s="55" t="inlineStr">
        <is>
          <t>VALOR</t>
        </is>
      </c>
      <c r="C3" s="55" t="inlineStr">
        <is>
          <t>DESCRIPCIÓN</t>
        </is>
      </c>
    </row>
    <row r="4" ht="22" customHeight="1">
      <c r="A4" s="56" t="inlineStr">
        <is>
          <t>SPREADSHEET_ID</t>
        </is>
      </c>
      <c r="B4" s="57" t="inlineStr">
        <is>
          <t>&lt;PEGAR_ID_DE_GOOGLE_SHEETS&gt;</t>
        </is>
      </c>
      <c r="C4" s="58" t="inlineStr">
        <is>
          <t>ID del documento Google Sheets (URL: .../d/&lt;ID&gt;/edit)</t>
        </is>
      </c>
    </row>
    <row r="5" ht="22" customHeight="1">
      <c r="A5" s="56" t="inlineStr">
        <is>
          <t>SHEET_PACIENTES</t>
        </is>
      </c>
      <c r="B5" s="57" t="inlineStr">
        <is>
          <t>PACIENTES</t>
        </is>
      </c>
      <c r="C5" s="58" t="inlineStr">
        <is>
          <t>Nombre exacto de la hoja de pacientes</t>
        </is>
      </c>
    </row>
    <row r="6" ht="22" customHeight="1">
      <c r="A6" s="56" t="inlineStr">
        <is>
          <t>SHEET_FORM</t>
        </is>
      </c>
      <c r="B6" s="57" t="inlineStr">
        <is>
          <t>FORMULARIO_CLINICO</t>
        </is>
      </c>
      <c r="C6" s="58" t="inlineStr">
        <is>
          <t>Hoja del formulario clínico</t>
        </is>
      </c>
    </row>
    <row r="7" ht="22" customHeight="1">
      <c r="A7" s="56" t="inlineStr">
        <is>
          <t>SHEET_CITAS</t>
        </is>
      </c>
      <c r="B7" s="57" t="inlineStr">
        <is>
          <t>CITAS</t>
        </is>
      </c>
      <c r="C7" s="58" t="inlineStr">
        <is>
          <t>Hoja de citas</t>
        </is>
      </c>
    </row>
    <row r="8" ht="22" customHeight="1">
      <c r="A8" s="56" t="inlineStr">
        <is>
          <t>SHEET_PAGOS</t>
        </is>
      </c>
      <c r="B8" s="57" t="inlineStr">
        <is>
          <t>PAGOS</t>
        </is>
      </c>
      <c r="C8" s="58" t="inlineStr">
        <is>
          <t>Hoja de pagos</t>
        </is>
      </c>
    </row>
    <row r="9" ht="22" customHeight="1">
      <c r="A9" s="56" t="inlineStr">
        <is>
          <t>SHEET_DISP</t>
        </is>
      </c>
      <c r="B9" s="57" t="inlineStr">
        <is>
          <t>DISPONIBILIDAD</t>
        </is>
      </c>
      <c r="C9" s="58" t="inlineStr">
        <is>
          <t>Hoja de disponibilidad</t>
        </is>
      </c>
    </row>
    <row r="10" ht="22" customHeight="1">
      <c r="A10" s="56" t="inlineStr">
        <is>
          <t>SHEET_VIDEO</t>
        </is>
      </c>
      <c r="B10" s="57" t="inlineStr">
        <is>
          <t>VIDEOLLAMADAS</t>
        </is>
      </c>
      <c r="C10" s="58" t="inlineStr">
        <is>
          <t>Hoja de videollamadas</t>
        </is>
      </c>
    </row>
    <row r="11" ht="22" customHeight="1">
      <c r="A11" s="56" t="inlineStr">
        <is>
          <t>PRECIO_CONSULTA</t>
        </is>
      </c>
      <c r="B11" s="57" t="inlineStr">
        <is>
          <t>15000</t>
        </is>
      </c>
      <c r="C11" s="58" t="inlineStr">
        <is>
          <t>Valor de la consulta en CLP</t>
        </is>
      </c>
    </row>
    <row r="12" ht="22" customHeight="1">
      <c r="A12" s="56" t="inlineStr">
        <is>
          <t>NUTRI_EMAIL</t>
        </is>
      </c>
      <c r="B12" s="57" t="inlineStr">
        <is>
          <t>nutricionista@email.com</t>
        </is>
      </c>
      <c r="C12" s="58" t="inlineStr">
        <is>
          <t>Email de Fernanda para notificaciones</t>
        </is>
      </c>
    </row>
    <row r="13" ht="22" customHeight="1">
      <c r="A13" s="56" t="inlineStr">
        <is>
          <t>NUTRI_WA</t>
        </is>
      </c>
      <c r="B13" s="57" t="inlineStr">
        <is>
          <t>56912345678</t>
        </is>
      </c>
      <c r="C13" s="58" t="inlineStr">
        <is>
          <t>WhatsApp de Fernanda (formato internacional)</t>
        </is>
      </c>
    </row>
    <row r="14" ht="22" customHeight="1">
      <c r="A14" s="56" t="inlineStr">
        <is>
          <t>TICKET_PREFIX</t>
        </is>
      </c>
      <c r="B14" s="57" t="inlineStr">
        <is>
          <t>NA</t>
        </is>
      </c>
      <c r="C14" s="58" t="inlineStr">
        <is>
          <t>Prefijo de tickets (NA-YYYYMMDD-NNN)</t>
        </is>
      </c>
    </row>
    <row r="15" ht="22" customHeight="1">
      <c r="A15" s="56" t="inlineStr">
        <is>
          <t>MAX_POR_DIA</t>
        </is>
      </c>
      <c r="B15" s="57" t="inlineStr">
        <is>
          <t>9</t>
        </is>
      </c>
      <c r="C15" s="58" t="inlineStr">
        <is>
          <t>Máximo de consultas por día</t>
        </is>
      </c>
    </row>
    <row r="16" ht="22" customHeight="1">
      <c r="A16" s="56" t="inlineStr">
        <is>
          <t>DURACION_SLOT</t>
        </is>
      </c>
      <c r="B16" s="57" t="inlineStr">
        <is>
          <t>45</t>
        </is>
      </c>
      <c r="C16" s="58" t="inlineStr">
        <is>
          <t>Duración por slot en minutos</t>
        </is>
      </c>
    </row>
    <row r="17" ht="22" customHeight="1">
      <c r="A17" s="56" t="inlineStr">
        <is>
          <t>ZONA_HORARIA</t>
        </is>
      </c>
      <c r="B17" s="57" t="inlineStr">
        <is>
          <t>America/Santiago</t>
        </is>
      </c>
      <c r="C17" s="58" t="inlineStr">
        <is>
          <t>Zona horaria para fechas y notificaciones</t>
        </is>
      </c>
    </row>
    <row r="18" ht="22" customHeight="1">
      <c r="A18" s="56" t="inlineStr">
        <is>
          <t>CORS_ORIGIN</t>
        </is>
      </c>
      <c r="B18" s="57" t="inlineStr">
        <is>
          <t>*</t>
        </is>
      </c>
      <c r="C18" s="58" t="inlineStr">
        <is>
          <t>Origen permitido para requests (cambiar por URL del sitio en producción)</t>
        </is>
      </c>
    </row>
    <row r="19" ht="22" customHeight="1">
      <c r="A19" s="56" t="inlineStr">
        <is>
          <t>GAS_WEB_APP_URL</t>
        </is>
      </c>
      <c r="B19" s="57" t="inlineStr">
        <is>
          <t>&lt;PEGAR_URL_DEL_WEB_APP&gt;</t>
        </is>
      </c>
      <c r="C19" s="58" t="inlineStr">
        <is>
          <t>URL del Google Apps Script publicado como Web App</t>
        </is>
      </c>
    </row>
    <row r="22">
      <c r="A22" s="9" t="inlineStr">
        <is>
          <t>ENDPOINTS GOOGLE APPS SCRIPT (Web App)</t>
        </is>
      </c>
    </row>
    <row r="23" ht="20" customHeight="1">
      <c r="A23" s="28" t="inlineStr">
        <is>
          <t>Método</t>
        </is>
      </c>
      <c r="B23" s="28" t="inlineStr">
        <is>
          <t>Acción GAS</t>
        </is>
      </c>
      <c r="C23" s="28" t="inlineStr">
        <is>
          <t>Descripción</t>
        </is>
      </c>
    </row>
    <row r="24" ht="20" customHeight="1">
      <c r="A24" s="59" t="inlineStr">
        <is>
          <t>GET ?action=getAvailability</t>
        </is>
      </c>
      <c r="B24" s="60" t="inlineStr">
        <is>
          <t>doGet(e)</t>
        </is>
      </c>
      <c r="C24" s="61" t="inlineStr">
        <is>
          <t>Retorna JSON con fechas y horarios disponibles</t>
        </is>
      </c>
    </row>
    <row r="25" ht="20" customHeight="1">
      <c r="A25" s="59" t="inlineStr">
        <is>
          <t>POST action=registerPatient</t>
        </is>
      </c>
      <c r="B25" s="60" t="inlineStr">
        <is>
          <t>doPost(e)</t>
        </is>
      </c>
      <c r="C25" s="61" t="inlineStr">
        <is>
          <t>Registra nuevo paciente + cita + formulario</t>
        </is>
      </c>
    </row>
    <row r="26" ht="20" customHeight="1">
      <c r="A26" s="59" t="inlineStr">
        <is>
          <t>POST action=uploadComprobante</t>
        </is>
      </c>
      <c r="B26" s="60" t="inlineStr">
        <is>
          <t>doPost(e)</t>
        </is>
      </c>
      <c r="C26" s="61" t="inlineStr">
        <is>
          <t>Guarda el nombre del archivo comprobante</t>
        </is>
      </c>
    </row>
    <row r="27" ht="20" customHeight="1">
      <c r="A27" s="59" t="inlineStr">
        <is>
          <t>GET ?action=getPatientByTicket</t>
        </is>
      </c>
      <c r="B27" s="60" t="inlineStr">
        <is>
          <t>doGet(e)</t>
        </is>
      </c>
      <c r="C27" s="61" t="inlineStr">
        <is>
          <t>Busca paciente por número de ticket</t>
        </is>
      </c>
    </row>
    <row r="28" ht="20" customHeight="1">
      <c r="A28" s="59" t="inlineStr">
        <is>
          <t>GET ?action=getAvailabilityByDate</t>
        </is>
      </c>
      <c r="B28" s="60" t="inlineStr">
        <is>
          <t>doGet(e)</t>
        </is>
      </c>
      <c r="C28" s="61" t="inlineStr">
        <is>
          <t>Retorna slots disponibles para una fecha</t>
        </is>
      </c>
    </row>
    <row r="29" ht="20" customHeight="1">
      <c r="A29" s="59" t="inlineStr">
        <is>
          <t>POST action=updateCitaStatus</t>
        </is>
      </c>
      <c r="B29" s="60" t="inlineStr">
        <is>
          <t>doPost(e)</t>
        </is>
      </c>
      <c r="C29" s="61" t="inlineStr">
        <is>
          <t>Actualiza estado de cita (nutri/admin)</t>
        </is>
      </c>
    </row>
    <row r="30" ht="20" customHeight="1">
      <c r="A30" s="59" t="inlineStr">
        <is>
          <t>GET ?action=getDashboard</t>
        </is>
      </c>
      <c r="B30" s="60" t="inlineStr">
        <is>
          <t>doGet(e)</t>
        </is>
      </c>
      <c r="C30" s="61" t="inlineStr">
        <is>
          <t>Retorna métricas del dashboard para admin</t>
        </is>
      </c>
    </row>
    <row r="31" ht="20" customHeight="1">
      <c r="A31" s="59" t="inlineStr">
        <is>
          <t>POST action=blockSlot</t>
        </is>
      </c>
      <c r="B31" s="60" t="inlineStr">
        <is>
          <t>doPost(e)</t>
        </is>
      </c>
      <c r="C31" s="61" t="inlineStr">
        <is>
          <t>Bloquea un horario desde panel de nutri</t>
        </is>
      </c>
    </row>
  </sheetData>
  <mergeCells count="2">
    <mergeCell ref="A1:C1"/>
    <mergeCell ref="A22:C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74C3C"/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14" customWidth="1" min="4" max="4"/>
    <col width="12" customWidth="1" min="5" max="5"/>
  </cols>
  <sheetData>
    <row r="1" ht="44" customHeight="1">
      <c r="A1" s="1" t="inlineStr">
        <is>
          <t>💡 Ideas de Mejora para NutriAge</t>
        </is>
      </c>
    </row>
    <row r="3" ht="42" customHeight="1">
      <c r="A3" s="3" t="inlineStr">
        <is>
          <t>PRIORIDAD</t>
        </is>
      </c>
      <c r="B3" s="3" t="inlineStr">
        <is>
          <t>CATEGORÍA</t>
        </is>
      </c>
      <c r="C3" s="3" t="inlineStr">
        <is>
          <t>IDEA / FUNCIONALIDAD</t>
        </is>
      </c>
      <c r="D3" s="3" t="inlineStr">
        <is>
          <t>IMPACTO</t>
        </is>
      </c>
      <c r="E3" s="3" t="inlineStr">
        <is>
          <t>ESFUERZO</t>
        </is>
      </c>
    </row>
    <row r="4" ht="42" customHeight="1">
      <c r="A4" s="62" t="inlineStr">
        <is>
          <t>🔴 Alta</t>
        </is>
      </c>
      <c r="B4" s="6" t="inlineStr">
        <is>
          <t>Autenticación</t>
        </is>
      </c>
      <c r="C4" s="6" t="inlineStr">
        <is>
          <t>Reemplazar login por ticket con autenticación real (Google/Magic Link). El paciente tiene su cuenta persistente con historial de sesiones.</t>
        </is>
      </c>
      <c r="D4" s="6" t="inlineStr">
        <is>
          <t>Alto</t>
        </is>
      </c>
      <c r="E4" s="6" t="inlineStr">
        <is>
          <t>Medio</t>
        </is>
      </c>
    </row>
    <row r="5" ht="42" customHeight="1">
      <c r="A5" s="62" t="inlineStr">
        <is>
          <t>🔴 Alta</t>
        </is>
      </c>
      <c r="B5" s="4" t="inlineStr">
        <is>
          <t>Base de datos</t>
        </is>
      </c>
      <c r="C5" s="4" t="inlineStr">
        <is>
          <t>Migrar de localStorage a Google Sheets como única fuente de verdad. GAS actúa como API REST.</t>
        </is>
      </c>
      <c r="D5" s="4" t="inlineStr">
        <is>
          <t>Alto</t>
        </is>
      </c>
      <c r="E5" s="4" t="inlineStr">
        <is>
          <t>Medio</t>
        </is>
      </c>
    </row>
    <row r="6" ht="42" customHeight="1">
      <c r="A6" s="62" t="inlineStr">
        <is>
          <t>🔴 Alta</t>
        </is>
      </c>
      <c r="B6" s="6" t="inlineStr">
        <is>
          <t>Pagos</t>
        </is>
      </c>
      <c r="C6" s="6" t="inlineStr">
        <is>
          <t>Integrar pasarela de pago (Mercado Pago / Webpay). El pago confirma la cita automáticamente sin subida manual de comprobante.</t>
        </is>
      </c>
      <c r="D6" s="6" t="inlineStr">
        <is>
          <t>Alto</t>
        </is>
      </c>
      <c r="E6" s="6" t="inlineStr">
        <is>
          <t>Alto</t>
        </is>
      </c>
    </row>
    <row r="7" ht="42" customHeight="1">
      <c r="A7" s="62" t="inlineStr">
        <is>
          <t>🔴 Alta</t>
        </is>
      </c>
      <c r="B7" s="4" t="inlineStr">
        <is>
          <t>Notificaciones</t>
        </is>
      </c>
      <c r="C7" s="4" t="inlineStr">
        <is>
          <t>Email automático de confirmación al paciente al reservar (via GAS + Gmail API). Incluir ticket, fecha, sala Jitsi.</t>
        </is>
      </c>
      <c r="D7" s="4" t="inlineStr">
        <is>
          <t>Alto</t>
        </is>
      </c>
      <c r="E7" s="4" t="inlineStr">
        <is>
          <t>Bajo</t>
        </is>
      </c>
    </row>
    <row r="8" ht="42" customHeight="1">
      <c r="A8" s="63" t="inlineStr">
        <is>
          <t>🟡 Media</t>
        </is>
      </c>
      <c r="B8" s="6" t="inlineStr">
        <is>
          <t>Recordatorios</t>
        </is>
      </c>
      <c r="C8" s="6" t="inlineStr">
        <is>
          <t>Recordatorio automático por email + WhatsApp 24h y 1h antes de la cita.</t>
        </is>
      </c>
      <c r="D8" s="6" t="inlineStr">
        <is>
          <t>Alto</t>
        </is>
      </c>
      <c r="E8" s="6" t="inlineStr">
        <is>
          <t>Medio</t>
        </is>
      </c>
    </row>
    <row r="9" ht="42" customHeight="1">
      <c r="A9" s="63" t="inlineStr">
        <is>
          <t>🟡 Media</t>
        </is>
      </c>
      <c r="B9" s="4" t="inlineStr">
        <is>
          <t>Plan alimentario</t>
        </is>
      </c>
      <c r="C9" s="4" t="inlineStr">
        <is>
          <t>Módulo de carga/descarga de plan de alimentación personalizado en PDF directamente desde el panel de Fernanda.</t>
        </is>
      </c>
      <c r="D9" s="4" t="inlineStr">
        <is>
          <t>Alto</t>
        </is>
      </c>
      <c r="E9" s="4" t="inlineStr">
        <is>
          <t>Medio</t>
        </is>
      </c>
    </row>
    <row r="10" ht="42" customHeight="1">
      <c r="A10" s="63" t="inlineStr">
        <is>
          <t>🟡 Media</t>
        </is>
      </c>
      <c r="B10" s="6" t="inlineStr">
        <is>
          <t>Ficha clínica</t>
        </is>
      </c>
      <c r="C10" s="6" t="inlineStr">
        <is>
          <t>Historial de consultas: cada paciente puede tener múltiples sesiones con evolución de IMC, peso y notas.</t>
        </is>
      </c>
      <c r="D10" s="6" t="inlineStr">
        <is>
          <t>Alto</t>
        </is>
      </c>
      <c r="E10" s="6" t="inlineStr">
        <is>
          <t>Alto</t>
        </is>
      </c>
    </row>
    <row r="11" ht="42" customHeight="1">
      <c r="A11" s="63" t="inlineStr">
        <is>
          <t>🟡 Media</t>
        </is>
      </c>
      <c r="B11" s="4" t="inlineStr">
        <is>
          <t>Re-agendamiento</t>
        </is>
      </c>
      <c r="C11" s="4" t="inlineStr">
        <is>
          <t>Permitir al paciente re-agendar desde su panel usando su ticket (hasta X horas antes).</t>
        </is>
      </c>
      <c r="D11" s="4" t="inlineStr">
        <is>
          <t>Medio</t>
        </is>
      </c>
      <c r="E11" s="4" t="inlineStr">
        <is>
          <t>Medio</t>
        </is>
      </c>
    </row>
    <row r="12" ht="42" customHeight="1">
      <c r="A12" s="63" t="inlineStr">
        <is>
          <t>🟡 Media</t>
        </is>
      </c>
      <c r="B12" s="6" t="inlineStr">
        <is>
          <t>Panel admin</t>
        </is>
      </c>
      <c r="C12" s="6" t="inlineStr">
        <is>
          <t>Dashboard con gráficos de evolución de ingresos, pacientes por mes, motivos de consulta más frecuentes.</t>
        </is>
      </c>
      <c r="D12" s="6" t="inlineStr">
        <is>
          <t>Medio</t>
        </is>
      </c>
      <c r="E12" s="6" t="inlineStr">
        <is>
          <t>Medio</t>
        </is>
      </c>
    </row>
    <row r="13" ht="42" customHeight="1">
      <c r="A13" s="63" t="inlineStr">
        <is>
          <t>🟡 Media</t>
        </is>
      </c>
      <c r="B13" s="4" t="inlineStr">
        <is>
          <t>Recetas/Recursos</t>
        </is>
      </c>
      <c r="C13" s="4" t="inlineStr">
        <is>
          <t>Biblioteca de recetas y recursos nutricionales descargables desde el panel del paciente.</t>
        </is>
      </c>
      <c r="D13" s="4" t="inlineStr">
        <is>
          <t>Medio</t>
        </is>
      </c>
      <c r="E13" s="4" t="inlineStr">
        <is>
          <t>Bajo</t>
        </is>
      </c>
    </row>
    <row r="14" ht="42" customHeight="1">
      <c r="A14" s="64" t="inlineStr">
        <is>
          <t>🟢 Baja</t>
        </is>
      </c>
      <c r="B14" s="6" t="inlineStr">
        <is>
          <t>SEO/Landing</t>
        </is>
      </c>
      <c r="C14" s="6" t="inlineStr">
        <is>
          <t>Separar landing page del sistema de agendamiento. La landing pública presenta a Fernanda; el sistema está detrás de login.</t>
        </is>
      </c>
      <c r="D14" s="6" t="inlineStr">
        <is>
          <t>Medio</t>
        </is>
      </c>
      <c r="E14" s="6" t="inlineStr">
        <is>
          <t>Bajo</t>
        </is>
      </c>
    </row>
    <row r="15" ht="42" customHeight="1">
      <c r="A15" s="64" t="inlineStr">
        <is>
          <t>🟢 Baja</t>
        </is>
      </c>
      <c r="B15" s="4" t="inlineStr">
        <is>
          <t>Multi-idioma</t>
        </is>
      </c>
      <c r="C15" s="4" t="inlineStr">
        <is>
          <t>Soporte en inglés para pacientes extranjeros.</t>
        </is>
      </c>
      <c r="D15" s="4" t="inlineStr">
        <is>
          <t>Bajo</t>
        </is>
      </c>
      <c r="E15" s="4" t="inlineStr">
        <is>
          <t>Bajo</t>
        </is>
      </c>
    </row>
    <row r="16" ht="42" customHeight="1">
      <c r="A16" s="64" t="inlineStr">
        <is>
          <t>🟢 Baja</t>
        </is>
      </c>
      <c r="B16" s="6" t="inlineStr">
        <is>
          <t>Dark mode</t>
        </is>
      </c>
      <c r="C16" s="6" t="inlineStr">
        <is>
          <t>Modo oscuro para el dashboard de la nutricionista.</t>
        </is>
      </c>
      <c r="D16" s="6" t="inlineStr">
        <is>
          <t>Bajo</t>
        </is>
      </c>
      <c r="E16" s="6" t="inlineStr">
        <is>
          <t>Bajo</t>
        </is>
      </c>
    </row>
    <row r="17" ht="42" customHeight="1">
      <c r="A17" s="64" t="inlineStr">
        <is>
          <t>🟢 Baja</t>
        </is>
      </c>
      <c r="B17" s="4" t="inlineStr">
        <is>
          <t>Encuesta post-cita</t>
        </is>
      </c>
      <c r="C17" s="4" t="inlineStr">
        <is>
          <t>Encuesta de satisfacción automática 2h después de la consulta vía email.</t>
        </is>
      </c>
      <c r="D17" s="4" t="inlineStr">
        <is>
          <t>Medio</t>
        </is>
      </c>
      <c r="E17" s="4" t="inlineStr">
        <is>
          <t>Bajo</t>
        </is>
      </c>
    </row>
    <row r="18" ht="42" customHeight="1">
      <c r="A18" s="64" t="inlineStr">
        <is>
          <t>🟢 Baja</t>
        </is>
      </c>
      <c r="B18" s="6" t="inlineStr">
        <is>
          <t>Firma de consentimiento</t>
        </is>
      </c>
      <c r="C18" s="6" t="inlineStr">
        <is>
          <t>Consentimiento informado digital firmado por el paciente antes de la consulta.</t>
        </is>
      </c>
      <c r="D18" s="6" t="inlineStr">
        <is>
          <t>Medio</t>
        </is>
      </c>
      <c r="E18" s="6" t="inlineStr">
        <is>
          <t>Bajo</t>
        </is>
      </c>
    </row>
    <row r="19" ht="42" customHeight="1">
      <c r="A19" s="64" t="inlineStr">
        <is>
          <t>🟢 Baja</t>
        </is>
      </c>
      <c r="B19" s="4" t="inlineStr">
        <is>
          <t>Facturación</t>
        </is>
      </c>
      <c r="C19" s="4" t="inlineStr">
        <is>
          <t>Generación automática de boleta/factura con logo y datos de Fernanda al confirmar pago.</t>
        </is>
      </c>
      <c r="D19" s="4" t="inlineStr">
        <is>
          <t>Medio</t>
        </is>
      </c>
      <c r="E19" s="4" t="inlineStr">
        <is>
          <t>Alto</t>
        </is>
      </c>
    </row>
    <row r="20" ht="42" customHeight="1">
      <c r="A20" s="65" t="inlineStr">
        <is>
          <t>🔵 Futuro</t>
        </is>
      </c>
      <c r="B20" s="6" t="inlineStr">
        <is>
          <t>App móvil</t>
        </is>
      </c>
      <c r="C20" s="6" t="inlineStr">
        <is>
          <t>Progressive Web App (PWA) para que pacientes instalen en su celular y reciban push notifications.</t>
        </is>
      </c>
      <c r="D20" s="6" t="inlineStr">
        <is>
          <t>Alto</t>
        </is>
      </c>
      <c r="E20" s="6" t="inlineStr">
        <is>
          <t>Alto</t>
        </is>
      </c>
    </row>
    <row r="21" ht="42" customHeight="1">
      <c r="A21" s="65" t="inlineStr">
        <is>
          <t>🔵 Futuro</t>
        </is>
      </c>
      <c r="B21" s="4" t="inlineStr">
        <is>
          <t>Telemedicina avanzada</t>
        </is>
      </c>
      <c r="C21" s="4" t="inlineStr">
        <is>
          <t>Integrar Whereby o Daily.co en lugar de Jitsi para mayor control de sala, grabación y notas durante llamada.</t>
        </is>
      </c>
      <c r="D21" s="4" t="inlineStr">
        <is>
          <t>Alto</t>
        </is>
      </c>
      <c r="E21" s="4" t="inlineStr">
        <is>
          <t>Alto</t>
        </is>
      </c>
    </row>
    <row r="22" ht="42" customHeight="1">
      <c r="A22" s="65" t="inlineStr">
        <is>
          <t>🔵 Futuro</t>
        </is>
      </c>
      <c r="B22" s="6" t="inlineStr">
        <is>
          <t>IA nutricional</t>
        </is>
      </c>
      <c r="C22" s="6" t="inlineStr">
        <is>
          <t>Análisis automático del registro de 24h con IA para sugerencias preliminares de plan alimentario.</t>
        </is>
      </c>
      <c r="D22" s="6" t="inlineStr">
        <is>
          <t>Alto</t>
        </is>
      </c>
      <c r="E22" s="6" t="inlineStr">
        <is>
          <t>Alto</t>
        </is>
      </c>
    </row>
    <row r="23" ht="42" customHeight="1">
      <c r="A23" s="65" t="inlineStr">
        <is>
          <t>🔵 Futuro</t>
        </is>
      </c>
      <c r="B23" s="4" t="inlineStr">
        <is>
          <t>Multi-profesional</t>
        </is>
      </c>
      <c r="C23" s="4" t="inlineStr">
        <is>
          <t>Escalabilidad a varios nutricionistas con panel de administración central.</t>
        </is>
      </c>
      <c r="D23" s="4" t="inlineStr">
        <is>
          <t>Alto</t>
        </is>
      </c>
      <c r="E23" s="4" t="inlineStr">
        <is>
          <t>Alto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2026-04-10T16:45:39Z</dcterms:created>
  <dcterms:modified xmlns:dcterms="http://purl.org/dc/terms/" xmlns:xsi="http://www.w3.org/2001/XMLSchema-instance" xsi:type="dcterms:W3CDTF">2026-04-10T16:45:41Z</dcterms:modified>
</cp:coreProperties>
</file>